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<sst xmlns="http://schemas.openxmlformats.org/spreadsheetml/2006/main" count="89353" uniqueCount="44339">
  <si>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</si>
  <si>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</si>
  <si>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</si>
  <si>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</si>
  <si>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</si>
  <si>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</si>
  <si>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</si>
  <si>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</si>
  <si>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</si>
  <si>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</si>
  <si>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</si>
  <si>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</si>
  <si>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</si>
  <si>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</si>
  <si>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</si>
  <si>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</si>
  <si>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</si>
  <si>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</si>
  <si>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</si>
  <si>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</si>
  <si>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</si>
  <si>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</si>
  <si>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</si>
  <si>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</si>
  <si>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</si>
  <si>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</si>
  <si>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</si>
  <si>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</si>
  <si>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</si>
  <si>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</si>
  <si>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</si>
  <si>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</si>
  <si>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</si>
  <si>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</si>
  <si>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</si>
  <si>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</si>
  <si>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</si>
  <si>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</si>
  <si>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</si>
  <si>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</si>
  <si>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</si>
  <si>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</si>
  <si>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</si>
  <si>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</si>
  <si>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</si>
  <si>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</si>
  <si>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</si>
  <si>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</si>
  <si>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</si>
  <si>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</si>
  <si>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</si>
  <si>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</si>
  <si>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</si>
  <si>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</si>
  <si>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</si>
  <si>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</si>
  <si>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</si>
  <si>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</si>
  <si>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</si>
  <si>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</si>
  <si>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</si>
  <si>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</si>
  <si>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</si>
  <si>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</si>
  <si>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</si>
  <si>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</si>
  <si>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</si>
  <si>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</si>
  <si>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</si>
  <si>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</si>
  <si>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</si>
  <si>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</si>
  <si>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</si>
  <si>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</si>
  <si>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</si>
  <si>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</si>
  <si>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</si>
  <si>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</si>
  <si>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</si>
  <si>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</si>
  <si>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</si>
  <si>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</si>
  <si>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</si>
  <si>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</si>
  <si>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</si>
  <si>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</si>
  <si>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</si>
  <si>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</si>
  <si>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</si>
  <si>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</si>
  <si>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</si>
  <si>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</si>
  <si>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</si>
  <si>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</si>
  <si>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</si>
  <si>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</si>
  <si>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</si>
  <si>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</si>
  <si>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</si>
  <si>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</si>
  <si>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</si>
  <si>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</si>
  <si>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</si>
  <si>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</si>
  <si>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</si>
  <si>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</si>
  <si>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</si>
  <si>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</si>
  <si>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</si>
  <si>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</si>
  <si>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</si>
  <si>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</si>
  <si>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</si>
  <si>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</si>
  <si>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</si>
  <si>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</si>
  <si>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</si>
  <si>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</si>
  <si>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</si>
  <si>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</si>
  <si>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</si>
  <si>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</si>
  <si>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</si>
  <si>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</si>
  <si>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</si>
  <si>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</si>
  <si>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</si>
  <si>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</si>
  <si>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</si>
  <si>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</si>
  <si>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</si>
  <si>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</si>
  <si>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</si>
  <si>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</si>
  <si>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</si>
  <si>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</si>
  <si>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</si>
  <si>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</si>
  <si>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</si>
  <si>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</si>
  <si>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</si>
  <si>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</si>
  <si>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</si>
  <si>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</si>
  <si>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</si>
  <si>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</si>
  <si>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</si>
  <si>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</si>
  <si>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</si>
  <si>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</si>
  <si>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</si>
  <si>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</si>
  <si>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</si>
  <si>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</si>
  <si>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</si>
  <si>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</si>
  <si>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</si>
  <si>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</si>
  <si>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</si>
  <si>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</si>
  <si>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</si>
  <si>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</si>
  <si>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</si>
  <si>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</si>
  <si>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</si>
  <si>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</si>
  <si>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</si>
  <si>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</si>
  <si>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</si>
  <si>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</si>
  <si>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</si>
  <si>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</si>
  <si>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</si>
  <si>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</si>
  <si>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</si>
  <si>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</si>
  <si>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</si>
  <si>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</si>
  <si>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</si>
  <si>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</si>
  <si>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</si>
  <si>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</si>
  <si>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</si>
  <si>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</si>
  <si>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</si>
  <si>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</si>
  <si>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</si>
  <si>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</si>
  <si>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</si>
  <si>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</si>
  <si>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</si>
  <si>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</si>
  <si>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</si>
  <si>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</si>
  <si>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</si>
  <si>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</si>
  <si>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</si>
  <si>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</si>
  <si>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</si>
  <si>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</si>
  <si>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</si>
  <si>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</si>
  <si>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</si>
  <si>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</si>
  <si>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</si>
  <si>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</si>
  <si>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</si>
  <si>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</si>
  <si>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</si>
  <si>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</si>
  <si>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</si>
  <si>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</si>
  <si>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</si>
  <si>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</si>
  <si>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</si>
  <si>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</si>
  <si>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</si>
  <si>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</si>
  <si>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</si>
  <si>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</si>
  <si>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</si>
  <si>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</si>
  <si>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</si>
  <si>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</si>
  <si>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</si>
  <si>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</si>
  <si>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</si>
  <si>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</si>
  <si>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</si>
  <si>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</si>
  <si>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</si>
  <si>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</si>
  <si>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</si>
  <si>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</si>
  <si>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</si>
  <si>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</si>
  <si>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</si>
  <si>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</si>
  <si>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</si>
  <si>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</si>
  <si>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</si>
  <si>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</si>
  <si>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</si>
  <si>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</si>
  <si>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</si>
  <si>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</si>
  <si>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</si>
  <si>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</si>
  <si>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</si>
  <si>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</si>
  <si>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</si>
  <si>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</si>
  <si>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</si>
  <si>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</si>
  <si>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</si>
  <si>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</si>
  <si>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</si>
  <si>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</si>
  <si>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</si>
  <si>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</si>
  <si>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</si>
  <si>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</si>
  <si>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</si>
  <si>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</si>
  <si>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</si>
  <si>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</si>
  <si>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</si>
  <si>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</si>
  <si>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</si>
  <si>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</si>
  <si>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</si>
  <si>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</si>
  <si>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</si>
  <si>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</si>
  <si>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</si>
  <si>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</si>
  <si>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</si>
  <si>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</si>
  <si>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</si>
  <si>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</si>
  <si>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</si>
  <si>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</si>
  <si>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</si>
  <si>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</si>
  <si>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</si>
  <si>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</si>
  <si>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</si>
  <si>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</si>
  <si>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</si>
  <si>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</si>
  <si>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</si>
  <si>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</si>
  <si>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</si>
  <si>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</si>
  <si>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</si>
  <si>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</si>
  <si>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</si>
  <si>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</si>
  <si>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</si>
  <si>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</si>
  <si>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</si>
  <si>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</si>
  <si>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</si>
  <si>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</si>
  <si>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</si>
  <si>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</si>
  <si>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</si>
  <si>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</si>
  <si>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</si>
  <si>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</si>
  <si>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</si>
  <si>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</si>
  <si>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</si>
  <si>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</si>
  <si>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</si>
  <si>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</si>
  <si>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</si>
  <si>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</si>
  <si>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</si>
  <si>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</si>
  <si>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</si>
  <si>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</si>
  <si>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</si>
  <si>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</si>
  <si>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</si>
  <si>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</si>
  <si>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</si>
  <si>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</si>
  <si>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</si>
  <si>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</si>
  <si>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</si>
  <si>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</si>
  <si>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</si>
  <si>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</si>
  <si>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</si>
  <si>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</si>
  <si>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</si>
  <si>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</si>
  <si>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</si>
  <si>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</si>
  <si>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</si>
  <si>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</si>
  <si>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</si>
  <si>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</si>
  <si>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</si>
  <si>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</si>
  <si>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</si>
  <si>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</si>
  <si>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</si>
  <si>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</si>
  <si>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</si>
  <si>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</si>
  <si>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</si>
  <si>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</si>
  <si>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</si>
  <si>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</si>
  <si>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</si>
  <si>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</si>
  <si>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</si>
  <si>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</si>
  <si>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</si>
  <si>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</si>
  <si>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</si>
  <si>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</si>
  <si>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</si>
  <si>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</si>
  <si>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</si>
  <si>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</si>
  <si>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</si>
  <si>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</si>
  <si>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</si>
  <si>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</si>
  <si>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</si>
  <si>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</si>
  <si>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</si>
  <si>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</si>
  <si>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</si>
  <si>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</si>
  <si>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</si>
  <si>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</si>
  <si>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</si>
  <si>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</si>
  <si>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</si>
  <si>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</si>
  <si>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</si>
  <si>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</si>
  <si>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</si>
  <si>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</si>
  <si>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</si>
  <si>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</si>
  <si>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</si>
  <si>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</si>
  <si>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</si>
  <si>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</si>
  <si>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</si>
  <si>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</si>
  <si>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</si>
  <si>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</si>
  <si>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</si>
  <si>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</si>
  <si>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</si>
  <si>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</si>
  <si>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</si>
  <si>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</si>
  <si>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</si>
  <si>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</si>
  <si>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</si>
  <si>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</si>
  <si>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</si>
  <si>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</si>
  <si>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</si>
  <si>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</si>
  <si>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</si>
  <si>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</si>
  <si>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</si>
  <si>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</si>
  <si>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</si>
  <si>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</si>
  <si>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</si>
  <si>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</si>
  <si>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</si>
  <si>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</si>
  <si>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</si>
  <si>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</si>
  <si>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</si>
  <si>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</si>
  <si>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</si>
  <si>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</si>
  <si>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</si>
  <si>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</si>
  <si>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</si>
  <si>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</si>
  <si>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</si>
  <si>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</si>
  <si>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</si>
  <si>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</si>
  <si>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</si>
  <si>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</si>
  <si>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</si>
  <si>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</si>
  <si>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</si>
  <si>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</si>
  <si>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</si>
  <si>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</si>
  <si>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</si>
  <si>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</si>
  <si>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</si>
  <si>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</si>
  <si>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</si>
  <si>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</si>
  <si>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</si>
  <si>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</si>
  <si>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</si>
  <si>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</si>
  <si>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</si>
  <si>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</si>
  <si>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</si>
  <si>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</si>
  <si>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</si>
  <si>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</si>
  <si>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</si>
  <si>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</si>
  <si>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</si>
  <si>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</si>
  <si>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</si>
  <si>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</si>
  <si>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</si>
  <si>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</si>
  <si>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</si>
  <si>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</si>
  <si>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</si>
  <si>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</si>
  <si>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</si>
  <si>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</si>
  <si>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</si>
  <si>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</si>
  <si>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</si>
  <si>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</si>
  <si>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</si>
  <si>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</si>
  <si>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</si>
  <si>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</si>
  <si>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</si>
  <si>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</si>
  <si>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</si>
  <si>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</si>
  <si>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</si>
  <si>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</si>
  <si>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</si>
  <si>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</si>
  <si>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</si>
  <si>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</si>
  <si>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</si>
  <si>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</si>
  <si>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</si>
  <si>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</si>
  <si>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</si>
  <si>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</si>
  <si>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</si>
  <si>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</si>
  <si>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</si>
  <si>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</si>
  <si>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</si>
  <si>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</si>
  <si>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</si>
  <si>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</si>
  <si>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</si>
  <si>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</si>
  <si>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</si>
  <si>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</si>
  <si>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</si>
  <si>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</si>
  <si>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</si>
  <si>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</si>
  <si>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</si>
  <si>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</si>
  <si>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</si>
  <si>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</si>
  <si>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</si>
  <si>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</si>
  <si>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</si>
  <si>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</si>
  <si>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</si>
  <si>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</si>
  <si>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</si>
  <si>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</si>
  <si>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</si>
  <si>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</si>
  <si>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</si>
  <si>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</si>
  <si>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</si>
  <si>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</si>
  <si>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</si>
  <si>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</si>
  <si>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</si>
  <si>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</si>
  <si>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</si>
  <si>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</si>
  <si>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</si>
  <si>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</si>
  <si>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</si>
  <si>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</si>
  <si>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</si>
  <si>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</si>
  <si>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</si>
  <si>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</si>
  <si>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</si>
  <si>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</si>
  <si>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</si>
  <si>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</si>
  <si>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</si>
  <si>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</si>
  <si>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</si>
  <si>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</si>
  <si>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</si>
  <si>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</si>
  <si>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</si>
  <si>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</si>
  <si>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</si>
  <si>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</si>
  <si>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</si>
  <si>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</si>
  <si>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</si>
  <si>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</si>
  <si>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</si>
  <si>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</si>
  <si>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</si>
  <si>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</si>
  <si>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</si>
  <si>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</si>
  <si>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</si>
  <si>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</si>
  <si>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</si>
  <si>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</si>
  <si>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</si>
  <si>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</si>
  <si>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</si>
  <si>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</si>
  <si>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</si>
  <si>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</si>
  <si>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</si>
  <si>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</si>
  <si>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</si>
  <si>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</si>
  <si>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</si>
  <si>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</si>
  <si>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</si>
  <si>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</si>
  <si>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</si>
  <si>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</si>
  <si>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</si>
  <si>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</si>
  <si>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</si>
  <si>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</si>
  <si>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</si>
  <si>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</si>
  <si>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</si>
  <si>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</si>
  <si>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</si>
  <si>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</si>
  <si>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</si>
  <si>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</si>
  <si>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</si>
  <si>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</si>
  <si>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</si>
  <si>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</si>
  <si>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</si>
  <si>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</si>
  <si>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</si>
  <si>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</si>
  <si>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</si>
  <si>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</si>
  <si>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</si>
  <si>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</si>
  <si>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</si>
  <si>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</si>
  <si>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</si>
  <si>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</si>
  <si>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</si>
  <si>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</si>
  <si>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</si>
  <si>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</si>
  <si>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</si>
  <si>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</si>
  <si>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</si>
  <si>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</si>
  <si>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</si>
  <si>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</si>
  <si>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</si>
  <si>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</si>
  <si>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</si>
  <si>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</si>
  <si>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</si>
  <si>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</si>
  <si>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</si>
  <si>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</si>
  <si>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</si>
  <si>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</si>
  <si>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</si>
  <si>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</si>
  <si>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</si>
  <si>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</si>
  <si>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</si>
  <si>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</si>
  <si>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</si>
  <si>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</si>
  <si>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</si>
  <si>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</si>
  <si>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</si>
  <si>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</si>
  <si>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</si>
  <si>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</si>
  <si>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</si>
  <si>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</si>
  <si>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</si>
  <si>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</si>
  <si>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</si>
  <si>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</si>
  <si>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</si>
  <si>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</si>
  <si>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</si>
  <si>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</si>
  <si>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</si>
  <si>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</si>
  <si>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</si>
  <si>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</si>
  <si>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</si>
  <si>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</si>
  <si>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</si>
  <si>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</si>
  <si>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</si>
  <si>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</si>
  <si>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</si>
  <si>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</si>
  <si>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</si>
  <si>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</si>
  <si>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</si>
  <si>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</si>
  <si>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</si>
  <si>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</si>
  <si>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</si>
  <si>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</si>
  <si>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</si>
  <si>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</si>
  <si>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</si>
  <si>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</si>
  <si>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</si>
  <si>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</si>
  <si>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</si>
  <si>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</si>
  <si>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</si>
  <si>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</si>
  <si>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</si>
  <si>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</si>
  <si>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</si>
  <si>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</si>
  <si>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</si>
  <si>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</si>
  <si>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</si>
  <si>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</si>
  <si>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</si>
  <si>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</si>
  <si>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</si>
  <si>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</si>
  <si>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</si>
  <si>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</si>
  <si>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</si>
  <si>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</si>
  <si>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</si>
  <si>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</si>
  <si>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</si>
  <si>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</si>
  <si>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</si>
  <si>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</si>
  <si>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</si>
  <si>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</si>
  <si>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</si>
  <si>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</si>
  <si>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</si>
  <si>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</si>
  <si>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</si>
  <si>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</si>
  <si>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</si>
  <si>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</si>
  <si>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</si>
  <si>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</si>
  <si>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</si>
  <si>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</si>
  <si>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</si>
  <si>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</si>
  <si>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</si>
  <si>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</si>
  <si>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</si>
  <si>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</si>
  <si>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</si>
  <si>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</si>
  <si>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</si>
  <si>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</si>
  <si>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</si>
  <si>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</si>
  <si>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</si>
  <si>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</si>
  <si>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</si>
  <si>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</si>
  <si>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</si>
  <si>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</si>
  <si>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</si>
  <si>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</si>
  <si>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</si>
  <si>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</si>
  <si>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</si>
  <si>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</si>
  <si>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</si>
  <si>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</si>
  <si>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</si>
  <si>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</si>
  <si>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</si>
  <si>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</si>
  <si>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</si>
  <si>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</si>
  <si>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</si>
  <si>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</si>
  <si>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</si>
  <si>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</si>
  <si>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</si>
  <si>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</si>
  <si>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</si>
  <si>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</si>
  <si>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</si>
  <si>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</si>
  <si>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</si>
  <si>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</si>
  <si>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</si>
  <si>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</si>
  <si>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</si>
  <si>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</si>
  <si>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</si>
  <si>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</si>
  <si>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</si>
  <si>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</si>
  <si>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</si>
  <si>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</si>
  <si>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</si>
  <si>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</si>
  <si>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</si>
  <si>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</si>
  <si>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</si>
  <si>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</si>
  <si>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</si>
  <si>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</si>
  <si>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</si>
  <si>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</si>
  <si>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</si>
  <si>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</si>
  <si>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</si>
  <si>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</si>
  <si>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</si>
  <si>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</si>
  <si>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</si>
  <si>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</si>
  <si>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</si>
  <si>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</si>
  <si>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</si>
  <si>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</si>
  <si>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</si>
  <si>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</si>
  <si>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</si>
  <si>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</si>
  <si>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</si>
  <si>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</si>
  <si>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</si>
  <si>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</si>
  <si>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</si>
  <si>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</si>
  <si>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</si>
  <si>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</si>
  <si>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</si>
  <si>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</si>
  <si>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</si>
  <si>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</si>
  <si>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</si>
  <si>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</si>
  <si>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</si>
  <si>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</si>
  <si>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</si>
  <si>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</si>
  <si>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</si>
  <si>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</si>
  <si>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</si>
  <si>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</si>
  <si>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</si>
  <si>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</si>
  <si>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</si>
  <si>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</si>
  <si>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</si>
  <si>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</si>
  <si>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</si>
  <si>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</si>
  <si>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</si>
  <si>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</si>
  <si>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</si>
  <si>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</si>
  <si>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</si>
  <si>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</si>
  <si>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</si>
  <si>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</si>
  <si>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</si>
  <si>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</si>
  <si>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</si>
  <si>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</si>
  <si>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</si>
  <si>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</si>
  <si>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</si>
  <si>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</si>
  <si>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</si>
  <si>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</si>
  <si>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</si>
  <si>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</si>
  <si>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</si>
  <si>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</si>
  <si>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</si>
  <si>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</si>
  <si>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</si>
  <si>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</si>
  <si>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</si>
  <si>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</si>
  <si>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</si>
  <si>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</si>
  <si>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</si>
  <si>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</si>
  <si>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</si>
  <si>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</si>
  <si>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</si>
  <si>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</si>
  <si>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</si>
  <si>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</si>
  <si>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</si>
  <si>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</si>
  <si>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</si>
  <si>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</si>
  <si>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</si>
  <si>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</si>
  <si>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</si>
  <si>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</si>
  <si>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</si>
  <si>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</si>
  <si>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</si>
  <si>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</si>
  <si>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</si>
  <si>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</si>
  <si>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</si>
  <si>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</si>
  <si>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</si>
  <si>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</si>
  <si>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</si>
  <si>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</si>
  <si>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</si>
  <si>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</si>
  <si>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</si>
  <si>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</si>
  <si>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</si>
  <si>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</si>
  <si>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</si>
  <si>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</si>
  <si>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</si>
  <si>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</si>
  <si>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</si>
  <si>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</si>
  <si>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</si>
  <si>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</si>
  <si>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</si>
  <si>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</si>
  <si>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</si>
  <si>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</si>
  <si>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</si>
  <si>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</si>
  <si>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</si>
  <si>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</si>
  <si>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</si>
  <si>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</si>
  <si>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</si>
  <si>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</si>
  <si>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</si>
  <si>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</si>
  <si>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</si>
  <si>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</si>
  <si>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</si>
  <si>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</si>
  <si>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</si>
  <si>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</si>
  <si>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</si>
  <si>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</si>
  <si>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</si>
  <si>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</si>
  <si>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</si>
  <si>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</si>
  <si>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</si>
  <si>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</si>
  <si>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</si>
  <si>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</si>
  <si>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</si>
  <si>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</si>
  <si>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</si>
  <si>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</si>
  <si>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</si>
  <si>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</si>
  <si>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</si>
  <si>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</si>
  <si>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</si>
  <si>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</si>
  <si>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</si>
  <si>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</si>
  <si>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</si>
  <si>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</si>
  <si>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</si>
  <si>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</si>
  <si>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</si>
  <si>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</si>
  <si>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</si>
  <si>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</si>
  <si>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</si>
  <si>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</si>
  <si>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</si>
  <si>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</si>
  <si>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</si>
  <si>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</si>
  <si>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</si>
  <si>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</si>
  <si>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</si>
  <si>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</si>
  <si>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</si>
  <si>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</si>
  <si>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</si>
  <si>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</si>
  <si>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</si>
  <si>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</si>
  <si>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</si>
  <si>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</si>
  <si>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</si>
  <si>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</si>
  <si>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</si>
  <si>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</si>
  <si>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</si>
  <si>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</si>
  <si>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</si>
  <si>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</si>
  <si>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</si>
  <si>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</si>
  <si>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</si>
  <si>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</si>
  <si>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</si>
  <si>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</si>
  <si>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</si>
  <si>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</si>
  <si>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</si>
  <si>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</si>
  <si>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</si>
  <si>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</si>
  <si>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</si>
  <si>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</si>
  <si>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</si>
  <si>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</si>
  <si>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</si>
  <si>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</si>
  <si>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</si>
  <si>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</si>
  <si>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</si>
  <si>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</si>
  <si>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</si>
  <si>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</si>
  <si>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</si>
  <si>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</si>
  <si>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</si>
  <si>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</si>
  <si>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</si>
  <si>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</si>
  <si>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</si>
  <si>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</si>
  <si>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</si>
  <si>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</si>
  <si>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</si>
  <si>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</si>
  <si>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</si>
  <si>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</si>
  <si>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</si>
  <si>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</si>
  <si>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</si>
  <si>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</si>
  <si>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</si>
  <si>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</si>
  <si>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</si>
  <si>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</si>
  <si>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</si>
  <si>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</si>
  <si>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</si>
  <si>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</si>
  <si>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</si>
  <si>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</si>
  <si>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</si>
  <si>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</si>
  <si>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</si>
  <si>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</si>
  <si>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</si>
  <si>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</si>
  <si>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</si>
  <si>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</si>
  <si>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</si>
  <si>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</si>
  <si>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</si>
  <si>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</si>
  <si>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</si>
  <si>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</si>
  <si>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</si>
  <si>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</si>
  <si>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</si>
  <si>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</si>
  <si>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</si>
  <si>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</si>
  <si>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</si>
  <si>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</si>
  <si>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</si>
  <si>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</si>
  <si>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</si>
  <si>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</si>
  <si>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</si>
  <si>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</si>
  <si>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</si>
  <si>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</si>
  <si>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</si>
  <si>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</si>
  <si>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</si>
  <si>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</si>
  <si>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</si>
  <si>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</si>
  <si>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</si>
  <si>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</si>
  <si>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</si>
  <si>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</si>
  <si>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</si>
  <si>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</si>
  <si>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</si>
  <si>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</si>
  <si>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</si>
  <si>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</si>
  <si>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</si>
  <si>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</si>
  <si>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</si>
  <si>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</si>
  <si>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</si>
  <si>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</si>
  <si>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</si>
  <si>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</si>
  <si>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</si>
  <si>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</si>
  <si>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</si>
  <si>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</si>
  <si>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</si>
  <si>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</si>
  <si>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</si>
  <si>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</si>
  <si>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</si>
  <si>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</si>
  <si>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</si>
  <si>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</si>
  <si>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</si>
  <si>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</si>
  <si>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</si>
  <si>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</si>
  <si>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</si>
  <si>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</si>
  <si>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</si>
  <si>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</si>
  <si>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</si>
  <si>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</si>
  <si>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</si>
  <si>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</si>
  <si>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</si>
  <si>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</si>
  <si>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</si>
  <si>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</si>
  <si>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</si>
  <si>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</si>
  <si>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</si>
  <si>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</si>
  <si>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</si>
  <si>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</si>
  <si>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</si>
  <si>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</si>
  <si>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</si>
  <si>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</si>
  <si>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</si>
  <si>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</si>
  <si>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</si>
  <si>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</si>
  <si>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</si>
  <si>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</si>
  <si>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</si>
  <si>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</si>
  <si>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</si>
  <si>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</si>
  <si>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</si>
  <si>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</si>
  <si>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</si>
  <si>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</si>
  <si>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</si>
  <si>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</si>
  <si>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</si>
  <si>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</si>
  <si>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</si>
  <si>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</si>
  <si>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</si>
  <si>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</si>
  <si>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</si>
  <si>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</si>
  <si>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</si>
  <si>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</si>
  <si>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</si>
  <si>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</si>
  <si>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</si>
  <si>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</si>
  <si>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</si>
  <si>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</si>
  <si>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</si>
  <si>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</si>
  <si>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</si>
  <si>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</si>
  <si>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</si>
  <si>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</si>
  <si>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</si>
  <si>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</si>
  <si>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</si>
  <si>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</si>
  <si>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</si>
  <si>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</si>
  <si>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</si>
  <si>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</si>
  <si>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</si>
  <si>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</si>
  <si>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</si>
  <si>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</si>
  <si>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</si>
  <si>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</si>
  <si>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</si>
  <si>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</si>
  <si>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</si>
  <si>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</si>
  <si>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</si>
  <si>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</si>
  <si>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</si>
  <si>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</si>
  <si>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</si>
  <si>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</si>
  <si>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</si>
  <si>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</si>
  <si>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</si>
  <si>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</si>
  <si>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</si>
  <si>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</si>
  <si>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</si>
  <si>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</si>
  <si>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</si>
  <si>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</si>
  <si>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</si>
  <si>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</si>
  <si>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</si>
  <si>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</si>
  <si>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</si>
  <si>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</si>
  <si>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</si>
  <si>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</si>
  <si>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</si>
  <si>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</si>
  <si>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</si>
  <si>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</si>
  <si>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</si>
  <si>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</si>
  <si>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</si>
  <si>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</si>
  <si>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</si>
  <si>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</si>
  <si>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</si>
  <si>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</si>
  <si>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</si>
  <si>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</si>
  <si>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</si>
  <si>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</si>
  <si>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</si>
  <si>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</si>
  <si>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</si>
  <si>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</si>
  <si>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</si>
  <si>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</si>
  <si>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</si>
  <si>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</si>
  <si>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</si>
  <si>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</si>
  <si>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</si>
  <si>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</si>
  <si>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</si>
  <si>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</si>
  <si>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</si>
  <si>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</si>
  <si>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</si>
  <si>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</si>
  <si>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</si>
  <si>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</si>
  <si>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</si>
  <si>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</si>
  <si>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</si>
  <si>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</si>
  <si>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</si>
  <si>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</si>
  <si>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</si>
  <si>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</si>
  <si>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</si>
  <si>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</si>
  <si>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</si>
  <si>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</si>
  <si>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</si>
  <si>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</si>
  <si>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</si>
  <si>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</si>
  <si>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</si>
  <si>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</si>
  <si>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</si>
  <si>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</si>
  <si>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</si>
  <si>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</si>
  <si>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</si>
  <si>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</si>
  <si>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</si>
  <si>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</si>
  <si>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</si>
  <si>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</si>
  <si>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</si>
  <si>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</si>
  <si>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</si>
  <si>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</si>
  <si>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</si>
  <si>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</si>
  <si>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</si>
  <si>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</si>
  <si>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</si>
  <si>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</si>
  <si>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</si>
  <si>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</si>
  <si>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</si>
  <si>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</si>
  <si>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</si>
  <si>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</si>
  <si>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</si>
  <si>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</si>
  <si>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</si>
  <si>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</si>
  <si>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</si>
  <si>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</si>
  <si>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</si>
  <si>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</si>
  <si>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</si>
  <si>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</si>
  <si>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</si>
  <si>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</si>
  <si>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</si>
  <si>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</si>
  <si>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</si>
  <si>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</si>
  <si>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</si>
  <si>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</si>
  <si>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</si>
  <si>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</si>
  <si>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</si>
  <si>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</si>
  <si>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</si>
  <si>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</si>
  <si>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</si>
  <si>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</si>
  <si>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</si>
  <si>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</si>
  <si>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</si>
  <si>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</si>
  <si>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</si>
  <si>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</si>
  <si>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</si>
  <si>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</si>
  <si>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</si>
  <si>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</si>
  <si>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</si>
  <si>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</si>
  <si>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</si>
  <si>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</si>
  <si>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</si>
  <si>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</si>
  <si>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</si>
  <si>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</si>
  <si>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</si>
  <si>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</si>
  <si>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</si>
  <si>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</si>
  <si>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</si>
  <si>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</si>
  <si>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</si>
  <si>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</si>
  <si>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</si>
  <si>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</si>
  <si>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</si>
  <si>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</si>
  <si>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</si>
  <si>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</si>
  <si>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</si>
  <si>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</si>
  <si>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</si>
  <si>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</si>
  <si>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</si>
  <si>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</si>
  <si>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</si>
  <si>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</si>
  <si>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</si>
  <si>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</si>
  <si>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</si>
  <si>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</si>
  <si>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</si>
  <si>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</si>
  <si>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</si>
  <si>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</si>
  <si>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</si>
  <si>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</si>
  <si>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</si>
  <si>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</si>
  <si>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</si>
  <si>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</si>
  <si>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</si>
  <si>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</si>
  <si>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</si>
  <si>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</si>
  <si>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</si>
  <si>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</si>
  <si>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</si>
  <si>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</si>
  <si>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</si>
  <si>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</si>
  <si>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</si>
  <si>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</si>
  <si>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</si>
  <si>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</si>
  <si>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</si>
  <si>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</si>
  <si>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</si>
  <si>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</si>
  <si>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</si>
  <si>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</si>
  <si>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</si>
  <si>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</si>
  <si>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</si>
  <si>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</si>
  <si>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</si>
  <si>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</si>
  <si>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</si>
  <si>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</si>
  <si>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</si>
  <si>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</si>
  <si>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</si>
  <si>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</si>
  <si>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</si>
  <si>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</si>
  <si>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</si>
  <si>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</si>
  <si>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</si>
  <si>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</si>
  <si>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</si>
  <si>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</si>
  <si>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</si>
  <si>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</si>
  <si>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</si>
  <si>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</si>
  <si>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</si>
  <si>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</si>
  <si>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</si>
  <si>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</si>
  <si>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</si>
  <si>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</si>
  <si>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</si>
  <si>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</si>
  <si>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</si>
  <si>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</si>
  <si>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</si>
  <si>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</si>
  <si>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</si>
  <si>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</si>
  <si>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</si>
  <si>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</si>
  <si>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</si>
  <si>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</si>
  <si>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</si>
  <si>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</si>
  <si>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</si>
  <si>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</si>
  <si>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</si>
  <si>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</si>
  <si>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</si>
  <si>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</si>
  <si>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</si>
  <si>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</si>
  <si>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</si>
  <si>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</si>
  <si>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</si>
  <si>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</si>
  <si>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</si>
  <si>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</si>
  <si>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</si>
  <si>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</si>
  <si>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</si>
  <si>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</si>
  <si>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</si>
  <si>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</si>
  <si>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</si>
  <si>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</si>
  <si>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</si>
  <si>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</si>
  <si>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</si>
  <si>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</si>
  <si>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</si>
  <si>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</si>
  <si>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</si>
  <si>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</si>
  <si>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</si>
  <si>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</si>
  <si>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</si>
  <si>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</si>
  <si>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</si>
  <si>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</si>
  <si>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</si>
  <si>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</si>
  <si>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</si>
  <si>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</si>
  <si>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</si>
  <si>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</si>
  <si>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</si>
  <si>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</si>
  <si>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</si>
  <si>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</si>
  <si>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</si>
  <si>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</si>
  <si>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</si>
  <si>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</si>
  <si>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</si>
  <si>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</si>
  <si>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</si>
  <si>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</si>
  <si>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</si>
  <si>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</si>
  <si>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</si>
  <si>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</si>
  <si>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</si>
  <si>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</si>
  <si>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</si>
  <si>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</si>
  <si>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</si>
  <si>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</si>
  <si>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</si>
  <si>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</si>
  <si>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</si>
  <si>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</si>
  <si>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</si>
  <si>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</si>
  <si>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</si>
  <si>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</si>
  <si>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</si>
  <si>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</si>
  <si>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</si>
  <si>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</si>
  <si>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</si>
  <si>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</si>
  <si>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</si>
  <si>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</si>
  <si>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</si>
  <si>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</si>
  <si>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</si>
  <si>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</si>
  <si>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</si>
  <si>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</si>
  <si>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</si>
  <si>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</si>
  <si>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</si>
  <si>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</si>
  <si>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</si>
  <si>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</si>
  <si>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</si>
  <si>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</si>
  <si>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</si>
  <si>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</si>
  <si>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</si>
  <si>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</si>
  <si>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</si>
  <si>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</si>
  <si>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</si>
  <si>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</si>
  <si>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</si>
  <si>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</si>
  <si>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</si>
  <si>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</si>
  <si>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</si>
  <si>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</si>
  <si>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</si>
  <si>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</si>
  <si>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</si>
  <si>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</si>
  <si>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</si>
  <si>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</si>
  <si>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</si>
  <si>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</si>
  <si>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</si>
  <si>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</si>
  <si>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</si>
  <si>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</si>
  <si>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</si>
  <si>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</si>
  <si>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</si>
  <si>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</si>
  <si>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</si>
  <si>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</si>
  <si>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</si>
  <si>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</si>
  <si>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</si>
  <si>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</si>
  <si>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</si>
  <si>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</si>
  <si>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</si>
  <si>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</si>
  <si>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</si>
  <si>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</si>
  <si>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</si>
  <si>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</si>
  <si>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</si>
  <si>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</si>
  <si>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</si>
  <si>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</si>
  <si>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</si>
  <si>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</si>
  <si>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</si>
  <si>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</si>
  <si>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</si>
  <si>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</si>
  <si>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</si>
  <si>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</si>
  <si>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</si>
  <si>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</si>
  <si>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</si>
  <si>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</si>
  <si>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</si>
  <si>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</si>
  <si>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</si>
  <si>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</si>
  <si>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</si>
  <si>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</si>
  <si>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</si>
  <si>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</si>
  <si>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</si>
  <si>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</si>
  <si>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</si>
  <si>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</si>
  <si>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</si>
  <si>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</si>
  <si>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</si>
  <si>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</si>
  <si>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</si>
  <si>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</si>
  <si>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</si>
  <si>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</si>
  <si>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</si>
  <si>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</si>
  <si>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</si>
  <si>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</si>
  <si>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</si>
  <si>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</si>
  <si>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</si>
  <si>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</si>
  <si>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</si>
  <si>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</si>
  <si>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</si>
  <si>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</si>
  <si>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</si>
  <si>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</si>
  <si>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</si>
  <si>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</si>
  <si>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</si>
  <si>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</si>
  <si>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</si>
  <si>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</si>
  <si>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</si>
  <si>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</si>
  <si>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</si>
  <si>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</si>
  <si>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</si>
  <si>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</si>
  <si>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</si>
  <si>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</si>
  <si>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</si>
  <si>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</si>
  <si>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</si>
  <si>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</si>
  <si>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</si>
  <si>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</si>
  <si>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</si>
  <si>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</si>
  <si>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</si>
  <si>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</si>
  <si>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</si>
  <si>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</si>
  <si>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</si>
  <si>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</si>
  <si>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</si>
  <si>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</si>
  <si>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</si>
  <si>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</si>
  <si>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</si>
  <si>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</si>
  <si>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</si>
  <si>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</si>
  <si>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</si>
  <si>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</si>
  <si>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</si>
  <si>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</si>
  <si>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</si>
  <si>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</si>
  <si>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</si>
  <si>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</si>
  <si>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</si>
  <si>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</si>
  <si>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</si>
  <si>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</si>
  <si>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</si>
  <si>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</si>
  <si>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</si>
  <si>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</si>
  <si>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</si>
  <si>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</si>
  <si>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</si>
  <si>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</si>
  <si>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</si>
  <si>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</si>
  <si>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</si>
  <si>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</si>
  <si>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</si>
  <si>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</si>
  <si>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</si>
  <si>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</si>
  <si>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</si>
  <si>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</si>
  <si>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</si>
  <si>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</si>
  <si>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</si>
  <si>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</si>
  <si>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</si>
  <si>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</si>
  <si>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</si>
  <si>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</si>
  <si>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</si>
  <si>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</si>
  <si>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</si>
  <si>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</si>
  <si>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</si>
  <si>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</si>
  <si>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</si>
  <si>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</si>
  <si>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</si>
  <si>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</si>
  <si>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</si>
  <si>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</si>
  <si>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</si>
  <si>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</si>
  <si>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</si>
  <si>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</si>
  <si>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</si>
  <si>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</si>
  <si>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</si>
  <si>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</si>
  <si>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</si>
  <si>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</si>
  <si>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</si>
  <si>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</si>
  <si>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</si>
  <si>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</si>
  <si>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</si>
  <si>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</si>
  <si>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</si>
  <si>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</si>
  <si>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</si>
  <si>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</si>
  <si>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</si>
  <si>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</si>
  <si>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</si>
  <si>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</si>
  <si>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</si>
  <si>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</si>
  <si>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</si>
  <si>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</si>
  <si>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</si>
  <si>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</si>
  <si>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</si>
  <si>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</si>
  <si>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</si>
  <si>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</si>
  <si>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</si>
  <si>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</si>
  <si>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</si>
  <si>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</si>
  <si>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</si>
  <si>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</si>
  <si>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</si>
  <si>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</si>
  <si>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</si>
  <si>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</si>
  <si>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</si>
  <si>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</si>
  <si>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</si>
  <si>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</si>
  <si>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</si>
  <si>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</si>
  <si>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</si>
  <si>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</si>
  <si>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</si>
  <si>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</si>
  <si>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</si>
  <si>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</si>
  <si>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</si>
  <si>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</si>
  <si>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</si>
  <si>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</si>
  <si>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</si>
  <si>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</si>
  <si>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</si>
  <si>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</si>
  <si>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</si>
  <si>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</si>
  <si>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</si>
  <si>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</si>
  <si>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</si>
  <si>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</si>
  <si>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</si>
  <si>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</si>
  <si>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</si>
  <si>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</si>
  <si>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</si>
  <si>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</si>
  <si>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</si>
  <si>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</si>
  <si>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</si>
  <si>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</si>
  <si>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</si>
  <si>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</si>
  <si>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</si>
  <si>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</si>
  <si>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</si>
  <si>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</si>
  <si>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</si>
  <si>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</si>
  <si>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</si>
  <si>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</si>
  <si>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</si>
  <si>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</si>
  <si>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</si>
  <si>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</si>
  <si>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</si>
  <si>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</si>
  <si>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</si>
  <si>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</si>
  <si>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</si>
  <si>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</si>
  <si>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</si>
  <si>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</si>
  <si>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</si>
  <si>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</si>
  <si>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</si>
  <si>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</si>
  <si>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</si>
  <si>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</si>
  <si>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</si>
  <si>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</si>
  <si>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</si>
  <si>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</si>
  <si>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</si>
  <si>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</si>
  <si>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</si>
  <si>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</si>
  <si>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</si>
  <si>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</si>
  <si>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</si>
  <si>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</si>
  <si>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</si>
  <si>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</si>
  <si>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</si>
  <si>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</si>
  <si>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</si>
  <si>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</si>
  <si>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</si>
  <si>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</si>
  <si>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</si>
  <si>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</si>
  <si>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</si>
  <si>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</si>
  <si>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</si>
  <si>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</si>
  <si>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</si>
  <si>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</si>
  <si>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</si>
  <si>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</si>
  <si>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</si>
  <si>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</si>
  <si>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</si>
  <si>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</si>
  <si>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</si>
  <si>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</si>
  <si>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</si>
  <si>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</si>
  <si>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</si>
  <si>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</si>
  <si>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</si>
  <si>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</si>
  <si>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</si>
  <si>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</si>
  <si>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</si>
  <si>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</si>
  <si>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</si>
  <si>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</si>
  <si>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</si>
  <si>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</si>
  <si>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</si>
  <si>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</si>
  <si>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</si>
  <si>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</si>
  <si>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</si>
  <si>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</si>
  <si>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</si>
  <si>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</si>
  <si>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</si>
  <si>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</si>
  <si>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</si>
  <si>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</si>
  <si>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</si>
  <si>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</si>
  <si>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</si>
  <si>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</si>
  <si>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</si>
  <si>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</si>
  <si>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</si>
  <si>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</si>
  <si>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</si>
  <si>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</si>
  <si>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</si>
  <si>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</si>
  <si>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</si>
  <si>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</si>
  <si>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</si>
  <si>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</si>
  <si>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</si>
  <si>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</si>
  <si>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</si>
  <si>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</si>
  <si>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</si>
  <si>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</si>
  <si>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</si>
  <si>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</si>
  <si>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</si>
  <si>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</si>
  <si>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</si>
  <si>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</si>
  <si>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</si>
  <si>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</si>
  <si>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</si>
  <si>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</si>
  <si>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</si>
  <si>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</si>
  <si>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</si>
  <si>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</si>
  <si>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</si>
  <si>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</si>
  <si>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</si>
  <si>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</si>
  <si>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</si>
  <si>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</si>
  <si>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</si>
  <si>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</si>
  <si>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</si>
  <si>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</si>
  <si>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</si>
  <si>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</si>
  <si>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</si>
  <si>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</si>
  <si>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</si>
  <si>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</si>
  <si>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</si>
  <si>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</si>
  <si>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</si>
  <si>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</si>
  <si>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</si>
  <si>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</si>
  <si>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</si>
  <si>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</si>
  <si>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</si>
  <si>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</si>
  <si>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</si>
  <si>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</si>
  <si>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</si>
  <si>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</si>
  <si>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</si>
  <si>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</si>
  <si>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</si>
  <si>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</si>
  <si>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</si>
  <si>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</si>
  <si>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</si>
  <si>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</si>
  <si>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</si>
  <si>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</si>
  <si>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</si>
  <si>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</si>
  <si>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</si>
  <si>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</si>
  <si>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</si>
  <si>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</si>
  <si>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</si>
  <si>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</si>
  <si>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</si>
  <si>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</si>
  <si>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</si>
  <si>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</si>
  <si>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</si>
  <si>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</si>
  <si>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</si>
  <si>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</si>
  <si>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</si>
  <si>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</si>
  <si>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</si>
  <si>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</si>
  <si>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</si>
  <si>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</si>
  <si>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</si>
  <si>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</si>
  <si>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</si>
  <si>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</si>
  <si>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</si>
  <si>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</si>
  <si>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</si>
  <si>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</si>
  <si>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</si>
  <si>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</si>
  <si>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</si>
  <si>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</si>
  <si>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</si>
  <si>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</si>
  <si>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</si>
  <si>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</si>
  <si>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</si>
  <si>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</si>
  <si>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</si>
  <si>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</si>
  <si>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</si>
  <si>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</si>
  <si>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</si>
  <si>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</si>
  <si>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</si>
  <si>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</si>
  <si>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</si>
  <si>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</si>
  <si>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</si>
  <si>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</si>
  <si>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</si>
  <si>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</si>
  <si>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</si>
  <si>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</si>
  <si>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</si>
  <si>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</si>
  <si>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</si>
  <si>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</si>
  <si>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</si>
  <si>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</si>
  <si>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</si>
  <si>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</si>
  <si>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</si>
  <si>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</si>
  <si>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</si>
  <si>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</si>
  <si>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</si>
  <si>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</si>
  <si>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</si>
  <si>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</si>
  <si>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</si>
  <si>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</si>
  <si>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</si>
  <si>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</si>
  <si>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</si>
  <si>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</si>
  <si>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</si>
  <si>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</si>
  <si>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</si>
  <si>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</si>
  <si>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</si>
  <si>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</si>
  <si>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</si>
  <si>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</si>
  <si>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</si>
  <si>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</si>
  <si>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</si>
  <si>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</si>
  <si>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</si>
  <si>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</si>
  <si>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</si>
  <si>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</si>
  <si>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</si>
  <si>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</si>
  <si>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</si>
  <si>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</si>
  <si>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</si>
  <si>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</si>
  <si>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</si>
  <si>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</si>
  <si>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</si>
  <si>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</si>
  <si>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</si>
  <si>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</si>
  <si>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</si>
  <si>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</si>
  <si>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</si>
  <si>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</si>
  <si>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</si>
  <si>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</si>
  <si>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</si>
  <si>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</si>
  <si>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</si>
  <si>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</si>
  <si>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</si>
  <si>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</si>
  <si>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</si>
  <si>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</si>
  <si>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</si>
  <si>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</si>
  <si>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</si>
  <si>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</si>
  <si>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</si>
  <si>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</si>
  <si>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</si>
  <si>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</si>
  <si>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</si>
  <si>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</si>
  <si>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</si>
  <si>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</si>
  <si>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</si>
  <si>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</si>
  <si>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</si>
  <si>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</si>
  <si>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</si>
  <si>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</si>
  <si>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</si>
  <si>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</si>
  <si>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</si>
  <si>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</si>
  <si>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</si>
  <si>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</si>
  <si>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</si>
  <si>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</si>
  <si>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</si>
  <si>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</si>
  <si>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</si>
  <si>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</si>
  <si>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</si>
  <si>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</si>
  <si>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</si>
  <si>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</si>
  <si>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</si>
  <si>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</si>
  <si>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</si>
  <si>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</si>
  <si>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</si>
  <si>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</si>
  <si>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</si>
  <si>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</si>
  <si>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</si>
  <si>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</si>
  <si>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</si>
  <si>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</si>
  <si>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</si>
  <si>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</si>
  <si>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</si>
  <si>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</si>
  <si>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</si>
  <si>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</si>
  <si>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</si>
  <si>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</si>
  <si>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</si>
  <si>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</si>
  <si>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</si>
  <si>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</si>
  <si>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</si>
  <si>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</si>
  <si>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</si>
  <si>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</si>
  <si>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</si>
  <si>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</si>
  <si>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</si>
  <si>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</si>
  <si>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</si>
  <si>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</si>
  <si>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</si>
  <si>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</si>
  <si>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</si>
  <si>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</si>
  <si>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</si>
  <si>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</si>
  <si>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</si>
  <si>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</si>
  <si>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</si>
  <si>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</si>
  <si>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</si>
  <si>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</si>
  <si>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</si>
  <si>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</si>
  <si>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</si>
  <si>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</si>
  <si>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</si>
  <si>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</si>
  <si>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</si>
  <si>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</si>
  <si>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</si>
  <si>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</si>
  <si>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</si>
  <si>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</si>
  <si>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</si>
  <si>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</si>
  <si>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</si>
  <si>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</si>
  <si>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</si>
  <si>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</si>
  <si>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</si>
  <si>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</si>
  <si>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</si>
  <si>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</si>
  <si>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</si>
  <si>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</si>
  <si>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</si>
  <si>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</si>
  <si>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</si>
  <si>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</si>
  <si>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</si>
  <si>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</si>
  <si>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</si>
  <si>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</si>
  <si>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</si>
  <si>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</si>
  <si>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</si>
  <si>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</si>
  <si>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</si>
  <si>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</si>
  <si>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</si>
  <si>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</si>
  <si>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</si>
  <si>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</si>
  <si>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</si>
  <si>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</si>
  <si>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</si>
  <si>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</si>
  <si>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</si>
  <si>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</si>
  <si>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</si>
  <si>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</si>
  <si>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</si>
  <si>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</si>
  <si>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</si>
  <si>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</si>
  <si>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</si>
  <si>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</si>
  <si>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</si>
  <si>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</si>
  <si>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</si>
  <si>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</si>
  <si>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</si>
  <si>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</si>
  <si>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</si>
  <si>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</si>
  <si>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</si>
  <si>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</si>
  <si>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</si>
  <si>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</si>
  <si>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</si>
  <si>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</si>
  <si>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</si>
  <si>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</si>
  <si>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</si>
  <si>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</si>
  <si>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</si>
  <si>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</si>
  <si>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</si>
  <si>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</si>
  <si>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</si>
  <si>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</si>
  <si>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</si>
  <si>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</si>
  <si>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</si>
  <si>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</si>
  <si>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</si>
  <si>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</si>
  <si>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</si>
  <si>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</si>
  <si>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</si>
  <si>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</si>
  <si>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</si>
  <si>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</si>
  <si>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</si>
  <si>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</si>
  <si>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</si>
  <si>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</si>
  <si>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</si>
  <si>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</si>
  <si>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</si>
  <si>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</si>
  <si>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</si>
  <si>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</si>
  <si>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</si>
  <si>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</si>
  <si>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</si>
  <si>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</si>
  <si>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</si>
  <si>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</si>
  <si>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</si>
  <si>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</si>
  <si>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</si>
  <si>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</si>
  <si>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</si>
  <si>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</si>
  <si>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</si>
  <si>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</si>
  <si>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</si>
  <si>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</si>
  <si>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</si>
  <si>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</si>
  <si>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</si>
  <si>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</si>
  <si>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</si>
  <si>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</si>
  <si>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</si>
  <si>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</si>
  <si>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</si>
  <si>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</si>
  <si>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</si>
  <si>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</si>
  <si>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</si>
  <si>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</si>
  <si>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</si>
  <si>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</si>
  <si>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</si>
  <si>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</si>
  <si>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</si>
  <si>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</si>
  <si>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</si>
  <si>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</si>
  <si>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</si>
  <si>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</si>
  <si>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</si>
  <si>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</si>
  <si>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</si>
  <si>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</si>
  <si>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</si>
  <si>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</si>
  <si>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</si>
  <si>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</si>
  <si>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</si>
  <si>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</si>
  <si>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</si>
  <si>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</si>
  <si>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</si>
  <si>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</si>
  <si>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</si>
  <si>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</si>
  <si>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</si>
  <si>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</si>
  <si>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</si>
  <si>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</si>
  <si>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</si>
  <si>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</si>
  <si>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</si>
  <si>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</si>
  <si>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</si>
  <si>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</si>
  <si>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</si>
  <si>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</si>
  <si>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</si>
  <si>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</si>
  <si>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</si>
  <si>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</si>
  <si>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</si>
  <si>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</si>
  <si>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</si>
  <si>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</si>
  <si>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</si>
  <si>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</si>
  <si>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</si>
  <si>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</si>
  <si>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</si>
  <si>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</si>
  <si>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</si>
  <si>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</si>
  <si>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</si>
  <si>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</si>
  <si>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</si>
  <si>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</si>
  <si>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</si>
  <si>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</si>
  <si>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</si>
  <si>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</si>
  <si>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</si>
  <si>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</si>
  <si>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</si>
  <si>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</si>
  <si>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</si>
  <si>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</si>
  <si>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</si>
  <si>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</si>
  <si>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</si>
  <si>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</si>
  <si>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</si>
  <si>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</si>
  <si>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</si>
  <si>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</si>
  <si>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</si>
  <si>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</si>
  <si>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</si>
  <si>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</si>
  <si>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</si>
  <si>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</si>
  <si>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</si>
  <si>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</si>
  <si>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</si>
  <si>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</si>
  <si>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</si>
  <si>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</si>
  <si>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</si>
  <si>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</si>
  <si>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</si>
  <si>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</si>
  <si>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</si>
  <si>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</si>
  <si>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</si>
  <si>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</si>
  <si>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</si>
  <si>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</si>
  <si>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</si>
  <si>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</si>
  <si>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</si>
  <si>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</si>
  <si>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</si>
  <si>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</si>
  <si>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</si>
  <si>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</si>
  <si>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</si>
  <si>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</si>
  <si>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</si>
  <si>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</si>
  <si>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</si>
  <si>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</si>
  <si>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</si>
  <si>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</si>
  <si>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</si>
  <si>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</si>
  <si>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</si>
  <si>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</si>
  <si>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</si>
  <si>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</si>
  <si>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</si>
  <si>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</si>
  <si>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</si>
  <si>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</si>
  <si>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</si>
  <si>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</si>
  <si>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</si>
  <si>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</si>
  <si>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</si>
  <si>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</si>
  <si>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</si>
  <si>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</si>
  <si>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</si>
  <si>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</si>
  <si>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</si>
  <si>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</si>
  <si>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</si>
  <si>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</si>
  <si>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</si>
  <si>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</si>
  <si>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</si>
  <si>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</si>
  <si>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</si>
  <si>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</si>
  <si>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</si>
  <si>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</si>
  <si>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</si>
  <si>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</si>
  <si>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</si>
  <si>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</si>
  <si>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</si>
  <si>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</si>
  <si>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</si>
  <si>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</si>
  <si>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</si>
  <si>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</si>
  <si>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</si>
  <si>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</si>
  <si>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</si>
  <si>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</si>
  <si>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</si>
  <si>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</si>
  <si>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</si>
  <si>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</si>
  <si>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</si>
  <si>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</si>
  <si>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</si>
  <si>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</si>
  <si>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</si>
  <si>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</si>
  <si>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</si>
  <si>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</si>
  <si>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</si>
  <si>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</si>
  <si>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</si>
  <si>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</si>
  <si>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</si>
  <si>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</si>
  <si>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</si>
  <si>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</si>
  <si>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</si>
  <si>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</si>
  <si>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</si>
  <si>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</si>
  <si>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</si>
  <si>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</si>
  <si>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</si>
  <si>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</si>
  <si>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</si>
  <si>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</si>
  <si>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</si>
  <si>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</si>
  <si>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</si>
  <si>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</si>
  <si>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</si>
  <si>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</si>
  <si>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</si>
  <si>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</si>
  <si>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</si>
  <si>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</si>
  <si>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</si>
  <si>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</si>
  <si>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</si>
  <si>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</si>
  <si>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</si>
  <si>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</si>
  <si>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</si>
  <si>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</si>
  <si>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</si>
  <si>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</si>
  <si>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</si>
  <si>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</si>
  <si>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</si>
  <si>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</si>
  <si>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</si>
  <si>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</si>
  <si>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</si>
  <si>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</si>
  <si>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</si>
  <si>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</si>
  <si>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</si>
  <si>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</si>
  <si>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</si>
  <si>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</si>
  <si>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</si>
  <si>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</si>
  <si>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</si>
  <si>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</si>
  <si>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</si>
  <si>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</si>
  <si>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</si>
  <si>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</si>
  <si>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</si>
  <si>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</si>
  <si>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</si>
  <si>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</si>
  <si>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</si>
  <si>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</si>
  <si>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</si>
  <si>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</si>
  <si>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</si>
  <si>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</si>
  <si>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</si>
  <si>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</si>
  <si>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</si>
  <si>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</si>
  <si>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</si>
  <si>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</si>
  <si>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</si>
  <si>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</si>
  <si>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</si>
  <si>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</si>
  <si>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</si>
  <si>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</si>
  <si>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</si>
  <si>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</si>
  <si>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</si>
  <si>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</si>
  <si>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</si>
  <si>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</si>
  <si>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</si>
  <si>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</si>
  <si>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</si>
  <si>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</si>
  <si>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</si>
  <si>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</si>
  <si>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</si>
  <si>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</si>
  <si>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</si>
  <si>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</si>
  <si>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</si>
  <si>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</si>
  <si>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</si>
  <si>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</si>
  <si>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</si>
  <si>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</si>
  <si>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</si>
  <si>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</si>
  <si>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</si>
  <si>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</si>
  <si>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</si>
  <si>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</si>
  <si>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</si>
  <si>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</si>
  <si>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</si>
  <si>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</si>
  <si>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</si>
  <si>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</si>
  <si>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</si>
  <si>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</si>
  <si>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</si>
  <si>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</si>
  <si>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</si>
  <si>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</si>
  <si>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</si>
  <si>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</si>
  <si>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</si>
  <si>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</si>
  <si>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</si>
  <si>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</si>
  <si>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</si>
  <si>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</si>
  <si>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</si>
  <si>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</si>
  <si>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</si>
  <si>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</si>
  <si>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</si>
  <si>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</si>
  <si>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</si>
  <si>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</si>
  <si>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</si>
  <si>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</si>
  <si>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</si>
  <si>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</si>
  <si>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</si>
  <si>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</si>
  <si>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</si>
  <si>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</si>
  <si>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</si>
  <si>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</si>
  <si>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</si>
  <si>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</si>
  <si>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</si>
  <si>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</si>
  <si>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</si>
  <si>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</si>
  <si>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</si>
  <si>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</si>
  <si>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</si>
  <si>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</si>
  <si>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</si>
  <si>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</si>
  <si>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</si>
  <si>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</si>
  <si>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</si>
  <si>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</si>
  <si>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</si>
  <si>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</si>
  <si>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</si>
  <si>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</si>
  <si>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</si>
  <si>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</si>
  <si>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</si>
  <si>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</si>
  <si>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</si>
  <si>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</si>
  <si>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</si>
  <si>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</si>
  <si>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</si>
  <si>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</si>
  <si>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</si>
  <si>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</si>
  <si>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</si>
  <si>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</si>
  <si>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</si>
  <si>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</si>
  <si>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</si>
  <si>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</si>
  <si>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</si>
  <si>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</si>
  <si>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</si>
  <si>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</si>
  <si>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</si>
  <si>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</si>
  <si>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</si>
  <si>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</si>
  <si>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</si>
  <si>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</si>
  <si>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</si>
  <si>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</si>
  <si>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</si>
  <si>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</si>
  <si>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</si>
  <si>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</si>
  <si>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</si>
  <si>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</si>
  <si>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</si>
  <si>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</si>
  <si>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</si>
  <si>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</si>
  <si>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</si>
  <si>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</si>
  <si>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</si>
  <si>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</si>
  <si>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</si>
  <si>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</si>
  <si>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</si>
  <si>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</si>
  <si>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</si>
  <si>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</si>
  <si>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</si>
  <si>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</si>
  <si>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</si>
  <si>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</si>
  <si>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</si>
  <si>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</si>
  <si>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</si>
  <si>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</si>
  <si>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</si>
  <si>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</si>
  <si>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</si>
  <si>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</si>
  <si>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</si>
  <si>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</si>
  <si>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</si>
  <si>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</si>
  <si>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</si>
  <si>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</si>
  <si>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</si>
  <si>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</si>
  <si>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</si>
  <si>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</si>
  <si>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</si>
  <si>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</si>
  <si>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</si>
  <si>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</si>
  <si>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</si>
  <si>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</si>
  <si>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</si>
  <si>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</si>
  <si>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</si>
  <si>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</si>
  <si>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</si>
  <si>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</si>
  <si>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</si>
  <si>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</si>
  <si>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</si>
  <si>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</si>
  <si>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</si>
  <si>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</si>
  <si>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</si>
  <si>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</si>
  <si>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</si>
  <si>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</si>
  <si>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</si>
  <si>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</si>
  <si>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</si>
  <si>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</si>
  <si>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</si>
  <si>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</si>
  <si>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</si>
  <si>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</si>
  <si>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</si>
  <si>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</si>
  <si>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</si>
  <si>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</si>
  <si>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</si>
  <si>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</si>
  <si>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</si>
  <si>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</si>
  <si>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</si>
  <si>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</si>
  <si>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</si>
  <si>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</si>
  <si>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</si>
  <si>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</si>
  <si>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</si>
  <si>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</si>
  <si>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</si>
  <si>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</si>
  <si>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</si>
  <si>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</si>
  <si>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</si>
  <si>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</si>
  <si>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</si>
  <si>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</si>
  <si>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</si>
  <si>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</si>
  <si>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</si>
  <si>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</si>
  <si>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</si>
  <si>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</si>
  <si>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</si>
  <si>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</si>
  <si>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</si>
  <si>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</si>
  <si>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</si>
  <si>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</si>
  <si>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</si>
  <si>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</si>
  <si>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</si>
  <si>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</si>
  <si>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</si>
  <si>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</si>
  <si>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</si>
  <si>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</si>
  <si>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</si>
  <si>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</si>
  <si>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</si>
  <si>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</si>
  <si>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</si>
  <si>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</si>
  <si>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</si>
  <si>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</si>
  <si>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</si>
  <si>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</si>
  <si>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</si>
  <si>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</si>
  <si>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</si>
  <si>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</si>
  <si>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</si>
  <si>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</si>
  <si>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</si>
  <si>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</si>
  <si>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</si>
  <si>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</si>
  <si>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</si>
  <si>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</si>
  <si>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</si>
  <si>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</si>
  <si>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</si>
  <si>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</si>
  <si>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</si>
  <si>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</si>
  <si>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</si>
  <si>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</si>
  <si>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</si>
  <si>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</si>
  <si>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</si>
  <si>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</si>
  <si>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</si>
  <si>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</si>
  <si>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</si>
  <si>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</si>
  <si>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</si>
  <si>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</si>
  <si>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</si>
  <si>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</si>
  <si>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</si>
  <si>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</si>
  <si>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</si>
  <si>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</si>
  <si>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</si>
  <si>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</si>
  <si>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</si>
  <si>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</si>
  <si>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</si>
  <si>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</si>
  <si>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</si>
  <si>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</si>
  <si>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</si>
  <si>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</si>
  <si>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</si>
  <si>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</si>
  <si>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</si>
  <si>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</si>
  <si>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</si>
  <si>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</si>
  <si>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</si>
  <si>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</si>
  <si>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</si>
  <si>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</si>
  <si>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</si>
  <si>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</si>
  <si>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</si>
  <si>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</si>
  <si>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</si>
  <si>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</si>
  <si>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</si>
  <si>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</si>
  <si>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</si>
  <si>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</si>
  <si>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</si>
  <si>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</si>
  <si>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</si>
  <si>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</si>
  <si>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</si>
  <si>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</si>
  <si>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</si>
  <si>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</si>
  <si>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</si>
  <si>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</si>
  <si>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</si>
  <si>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</si>
  <si>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</si>
  <si>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</si>
  <si>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</si>
  <si>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</si>
  <si>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</si>
  <si>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</si>
  <si>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</si>
  <si>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</si>
  <si>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</si>
  <si>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</si>
  <si>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</si>
  <si>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</si>
  <si>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</si>
  <si>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</si>
  <si>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</si>
  <si>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</si>
  <si>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</si>
  <si>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</si>
  <si>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</si>
  <si>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</si>
  <si>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</si>
  <si>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</si>
  <si>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</si>
  <si>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</si>
  <si>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</si>
  <si>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</si>
  <si>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</si>
  <si>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</si>
  <si>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</si>
  <si>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</si>
  <si>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</si>
  <si>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</si>
  <si>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</si>
  <si>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</si>
  <si>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</si>
  <si>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</si>
  <si>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</si>
  <si>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</si>
  <si>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</si>
  <si>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</si>
  <si>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</si>
  <si>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</si>
  <si>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</si>
  <si>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</si>
  <si>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</si>
  <si>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</si>
  <si>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</si>
  <si>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</si>
  <si>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</si>
  <si>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</si>
  <si>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</si>
  <si>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</si>
  <si>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</si>
  <si>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</si>
  <si>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</si>
  <si>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</si>
  <si>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</si>
  <si>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</si>
  <si>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</si>
  <si>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</si>
  <si>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</si>
  <si>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</si>
  <si>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</si>
  <si>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</si>
  <si>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</si>
  <si>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</si>
  <si>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</si>
  <si>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</si>
  <si>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</si>
  <si>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</si>
  <si>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</si>
  <si>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</si>
  <si>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</si>
  <si>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</si>
  <si>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</si>
  <si>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</si>
  <si>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</si>
  <si>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</si>
  <si>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</si>
  <si>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</si>
  <si>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</si>
  <si>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</si>
  <si>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</si>
  <si>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</si>
  <si>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</si>
  <si>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</si>
  <si>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</si>
  <si>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</si>
  <si>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</si>
  <si>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</si>
  <si>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</si>
  <si>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</si>
  <si>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</si>
  <si>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</si>
  <si>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</si>
  <si>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</si>
  <si>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</si>
  <si>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</si>
  <si>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</si>
  <si>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</si>
  <si>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</si>
  <si>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</si>
  <si>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</si>
  <si>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</si>
  <si>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</si>
  <si>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</si>
  <si>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</si>
  <si>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</si>
  <si>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</si>
  <si>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</si>
  <si>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</si>
  <si>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</si>
  <si>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</si>
  <si>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</si>
  <si>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</si>
  <si>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</si>
  <si>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</si>
  <si>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</si>
  <si>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</si>
  <si>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</si>
  <si>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</si>
  <si>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</si>
  <si>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</si>
  <si>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</si>
  <si>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</si>
  <si>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</si>
  <si>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</si>
  <si>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</si>
  <si>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</si>
  <si>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</si>
  <si>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</si>
  <si>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</si>
  <si>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</si>
  <si>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</si>
  <si>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</si>
  <si>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</si>
  <si>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</si>
  <si>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</si>
  <si>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</si>
  <si>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</si>
  <si>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</si>
  <si>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</si>
  <si>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</si>
  <si>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</si>
  <si>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</si>
  <si>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</si>
  <si>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</si>
  <si>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</si>
  <si>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</si>
  <si>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</si>
  <si>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</si>
  <si>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</si>
  <si>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</si>
  <si>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</si>
  <si>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</si>
  <si>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</si>
  <si>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</si>
  <si>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</si>
  <si>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</si>
  <si>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</si>
  <si>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</si>
  <si>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</si>
  <si>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</si>
  <si>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</si>
  <si>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</si>
  <si>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</si>
  <si>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</si>
  <si>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</si>
  <si>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</si>
  <si>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</si>
  <si>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</si>
  <si>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</si>
  <si>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</si>
  <si>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</si>
  <si>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</si>
  <si>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</si>
  <si>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</si>
  <si>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</si>
  <si>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</si>
  <si>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</si>
  <si>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</si>
  <si>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</si>
  <si>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</si>
  <si>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</si>
  <si>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</si>
  <si>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</si>
  <si>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</si>
  <si>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</si>
  <si>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</si>
  <si>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</si>
  <si>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</si>
  <si>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</si>
  <si>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</si>
  <si>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</si>
  <si>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</si>
  <si>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</si>
  <si>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</si>
  <si>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</si>
  <si>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</si>
  <si>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</si>
  <si>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</si>
  <si>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</si>
  <si>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</si>
  <si>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</si>
  <si>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</si>
  <si>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</si>
  <si>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</si>
  <si>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</si>
  <si>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</si>
  <si>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</si>
  <si>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</si>
  <si>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</si>
  <si>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</si>
  <si>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</si>
  <si>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</si>
  <si>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</si>
  <si>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</si>
  <si>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</si>
  <si>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</si>
  <si>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</si>
  <si>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</si>
  <si>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</si>
  <si>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</si>
  <si>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</si>
  <si>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</si>
  <si>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</si>
  <si>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</si>
  <si>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</si>
  <si>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</si>
  <si>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</si>
  <si>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</si>
  <si>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</si>
  <si>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</si>
  <si>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</si>
  <si>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</si>
  <si>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</si>
  <si>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</si>
  <si>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</si>
  <si>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</si>
  <si>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</si>
  <si>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</si>
  <si>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</si>
  <si>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</si>
  <si>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</si>
  <si>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</si>
  <si>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</si>
  <si>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</si>
  <si>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</si>
  <si>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</si>
  <si>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</si>
  <si>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</si>
  <si>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</si>
  <si>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</si>
  <si>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</si>
  <si>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</si>
  <si>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</si>
  <si>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</si>
  <si>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</si>
  <si>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</si>
  <si>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</si>
  <si>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</si>
  <si>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</si>
  <si>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</si>
  <si>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</si>
  <si>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</si>
  <si>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</si>
  <si>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</si>
  <si>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</si>
  <si>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</si>
  <si>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</si>
  <si>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</si>
  <si>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</si>
  <si>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</si>
  <si>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</si>
  <si>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</si>
  <si>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</si>
  <si>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</si>
  <si>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</si>
  <si>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</si>
  <si>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</si>
  <si>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</si>
  <si>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</si>
  <si>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</si>
  <si>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</si>
  <si>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</si>
  <si>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</si>
  <si>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</si>
  <si>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</si>
  <si>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</si>
  <si>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</si>
  <si>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</si>
  <si>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</si>
  <si>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</si>
  <si>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</si>
  <si>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</si>
  <si>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</si>
  <si>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</si>
  <si>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</si>
  <si>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</si>
  <si>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</si>
  <si>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</si>
  <si>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</si>
  <si>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</si>
  <si>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</si>
  <si>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</si>
  <si>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</si>
  <si>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</si>
  <si>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</si>
  <si>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</si>
  <si>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</si>
  <si>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</si>
  <si>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</si>
  <si>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</si>
  <si>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</si>
  <si>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</si>
  <si>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</si>
  <si>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</si>
  <si>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</si>
  <si>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</si>
  <si>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</si>
  <si>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</si>
  <si>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</si>
  <si>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</si>
  <si>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</si>
  <si>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</si>
  <si>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</si>
  <si>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</si>
  <si>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</si>
  <si>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</si>
  <si>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</si>
  <si>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</si>
  <si>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</si>
  <si>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</si>
  <si>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</si>
  <si>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</si>
  <si>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</si>
  <si>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</si>
  <si>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</si>
  <si>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</si>
  <si>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</si>
  <si>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</si>
  <si>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</si>
  <si>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</si>
  <si>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</si>
  <si>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</si>
  <si>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</si>
  <si>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</si>
  <si>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</si>
  <si>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</si>
  <si>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</si>
  <si>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</si>
  <si>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</si>
  <si>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</si>
  <si>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</si>
  <si>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</si>
  <si>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</si>
  <si>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</si>
  <si>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</si>
  <si>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</si>
  <si>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</si>
  <si>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</si>
  <si>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</si>
  <si>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</si>
  <si>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</si>
  <si>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</si>
  <si>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</si>
  <si>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</si>
  <si>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</si>
  <si>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</si>
  <si>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</si>
  <si>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</si>
  <si>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</si>
  <si>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</si>
  <si>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</si>
  <si>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</si>
  <si>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</si>
  <si>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</si>
  <si>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</si>
  <si>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</si>
  <si>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</si>
  <si>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</si>
  <si>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</si>
  <si>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</si>
  <si>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</si>
  <si>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</si>
  <si>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</si>
  <si>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</si>
  <si>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</si>
  <si>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</si>
  <si>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</si>
  <si>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</si>
  <si>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</si>
  <si>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</si>
  <si>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</si>
  <si>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</si>
  <si>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</si>
  <si>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</si>
  <si>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</si>
  <si>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</si>
  <si>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</si>
  <si>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</si>
  <si>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</si>
  <si>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</si>
  <si>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</si>
  <si>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</si>
  <si>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</si>
  <si>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</si>
  <si>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</si>
  <si>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</si>
  <si>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</si>
  <si>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</si>
  <si>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</si>
  <si>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</si>
  <si>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</si>
  <si>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</si>
  <si>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</si>
  <si>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</si>
  <si>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</si>
  <si>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</si>
  <si>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</si>
  <si>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</si>
  <si>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</si>
  <si>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</si>
  <si>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</si>
  <si>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</si>
  <si>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</si>
  <si>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</si>
  <si>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</si>
  <si>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</si>
  <si>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</si>
  <si>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</si>
  <si>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</si>
  <si>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</si>
  <si>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</si>
  <si>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</si>
  <si>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</si>
  <si>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</si>
  <si>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</si>
  <si>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</si>
  <si>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</si>
  <si>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</si>
  <si>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</si>
  <si>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</si>
  <si>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</si>
  <si>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</si>
  <si>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</si>
  <si>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</si>
  <si>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</si>
  <si>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</si>
  <si>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</si>
  <si>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</si>
  <si>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</si>
  <si>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</si>
  <si>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</si>
  <si>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</si>
  <si>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</si>
  <si>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</si>
  <si>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</si>
  <si>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</si>
  <si>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</si>
  <si>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</si>
  <si>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</si>
  <si>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</si>
  <si>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</si>
  <si>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</si>
  <si>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</si>
  <si>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</si>
  <si>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</si>
  <si>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</si>
  <si>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</si>
  <si>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</si>
  <si>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</si>
  <si>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</si>
  <si>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</si>
  <si>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</si>
  <si>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</si>
  <si>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</si>
  <si>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</si>
  <si>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</si>
  <si>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</si>
  <si>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</si>
  <si>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</si>
  <si>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</si>
  <si>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</si>
  <si>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</si>
  <si>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</si>
  <si>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</si>
  <si>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</si>
  <si>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</si>
  <si>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</si>
  <si>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</si>
  <si>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</si>
  <si>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</si>
  <si>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</si>
  <si>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</si>
  <si>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</si>
  <si>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</si>
  <si>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</si>
  <si>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</si>
  <si>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</si>
  <si>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</si>
  <si>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</si>
  <si>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</si>
  <si>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</si>
  <si>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</si>
  <si>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</si>
  <si>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</si>
  <si>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</si>
  <si>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</si>
  <si>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</si>
  <si>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</si>
  <si>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</si>
  <si>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</si>
  <si>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</si>
  <si>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</si>
  <si>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</si>
  <si>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</si>
  <si>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</si>
  <si>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</si>
  <si>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</si>
  <si>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</si>
  <si>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</si>
  <si>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</si>
  <si>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</si>
  <si>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</si>
  <si>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</si>
  <si>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</si>
  <si>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</si>
  <si>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</si>
  <si>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</si>
  <si>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</si>
  <si>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</si>
  <si>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</si>
  <si>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</si>
  <si>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</si>
  <si>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</si>
  <si>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</si>
  <si>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</si>
  <si>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</si>
  <si>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</si>
  <si>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</si>
  <si>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</si>
  <si>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</si>
  <si>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</si>
  <si>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</si>
  <si>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</si>
  <si>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</si>
  <si>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</si>
  <si>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</si>
  <si>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</si>
  <si>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</si>
  <si>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</si>
  <si>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</si>
  <si>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</si>
  <si>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</si>
  <si>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</si>
  <si>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</si>
  <si>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</si>
  <si>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</si>
  <si>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</si>
  <si>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</si>
  <si>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</si>
  <si>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</si>
  <si>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</si>
  <si>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</si>
  <si>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</si>
  <si>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</si>
  <si>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</si>
  <si>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</si>
  <si>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</si>
  <si>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</si>
  <si>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</si>
  <si>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</si>
  <si>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</si>
  <si>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</si>
  <si>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</si>
  <si>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</si>
  <si>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</si>
  <si>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</si>
  <si>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</si>
  <si>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</si>
  <si>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</si>
  <si>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</si>
  <si>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</si>
  <si>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</si>
  <si>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</si>
  <si>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</si>
  <si>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</si>
  <si>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</si>
  <si>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</si>
  <si>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</si>
  <si>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</si>
  <si>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</si>
  <si>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</si>
  <si>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</si>
  <si>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</si>
  <si>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</si>
  <si>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</si>
  <si>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</si>
  <si>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</si>
  <si>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</si>
  <si>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</si>
  <si>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</si>
  <si>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</si>
  <si>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</si>
  <si>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</si>
  <si>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</si>
  <si>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</si>
  <si>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</si>
  <si>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</si>
  <si>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</si>
  <si>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</si>
  <si>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</si>
  <si>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</si>
  <si>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</si>
  <si>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</si>
  <si>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</si>
  <si>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</si>
  <si>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</si>
  <si>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</si>
  <si>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</si>
  <si>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</si>
  <si>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</si>
  <si>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</si>
  <si>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</si>
  <si>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</si>
  <si>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</si>
  <si>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</si>
  <si>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</si>
  <si>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</si>
  <si>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</si>
  <si>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</si>
  <si>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</si>
  <si>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</si>
  <si>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</si>
  <si>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</si>
  <si>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</si>
  <si>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</si>
  <si>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</si>
  <si>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</si>
  <si>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</si>
  <si>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</si>
  <si>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</si>
  <si>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</si>
  <si>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</si>
  <si>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</si>
  <si>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</si>
  <si>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</si>
  <si>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</si>
  <si>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</si>
  <si>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</si>
  <si>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</si>
  <si>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</si>
  <si>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</si>
  <si>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</si>
  <si>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</si>
  <si>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</si>
  <si>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</si>
  <si>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</si>
  <si>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</si>
  <si>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</si>
  <si>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</si>
  <si>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</si>
  <si>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</si>
  <si>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</si>
  <si>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</si>
  <si>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</si>
  <si>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</si>
  <si>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</si>
  <si>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</si>
  <si>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</si>
  <si>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</si>
  <si>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</si>
  <si>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</si>
  <si>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</si>
  <si>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</si>
  <si>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</si>
  <si>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</si>
  <si>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</si>
  <si>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</si>
  <si>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</si>
  <si>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</si>
  <si>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</si>
  <si>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</si>
  <si>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</si>
  <si>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</si>
  <si>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</si>
  <si>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</si>
  <si>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</si>
  <si>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</si>
  <si>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</si>
  <si>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</si>
  <si>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</si>
  <si>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</si>
  <si>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</si>
  <si>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</si>
  <si>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</si>
  <si>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</si>
  <si>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</si>
  <si>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</si>
  <si>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</si>
  <si>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</si>
  <si>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</si>
  <si>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</si>
  <si>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</si>
  <si>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</si>
  <si>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</si>
  <si>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</si>
  <si>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</si>
  <si>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</si>
  <si>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</si>
  <si>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</si>
  <si>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</si>
  <si>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</si>
  <si>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</si>
  <si>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</si>
  <si>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</si>
  <si>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</si>
  <si>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</si>
  <si>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</si>
  <si>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</si>
  <si>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</si>
  <si>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</si>
  <si>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</si>
  <si>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</si>
  <si>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</si>
  <si>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</si>
  <si>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</si>
  <si>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</si>
  <si>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</si>
  <si>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</si>
  <si>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</si>
  <si>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</si>
  <si>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</si>
  <si>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</si>
  <si>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</si>
  <si>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</si>
  <si>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</si>
  <si>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</si>
  <si>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</si>
  <si>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</si>
  <si>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</si>
  <si>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</si>
  <si>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</si>
  <si>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</si>
  <si>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</si>
  <si>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</si>
  <si>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</si>
  <si>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</si>
  <si>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</si>
  <si>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</si>
  <si>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</si>
  <si>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</si>
  <si>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</si>
  <si>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</si>
  <si>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</si>
  <si>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</si>
  <si>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</si>
  <si>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</si>
  <si>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</si>
  <si>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</si>
  <si>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</si>
  <si>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</si>
  <si>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</si>
  <si>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</si>
  <si>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</si>
  <si>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</si>
  <si>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</si>
  <si>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</si>
  <si>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</si>
  <si>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</si>
  <si>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</si>
  <si>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</si>
  <si>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</si>
  <si>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</si>
  <si>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</si>
  <si>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</si>
  <si>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</si>
  <si>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</si>
  <si>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</si>
  <si>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</si>
  <si>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</si>
  <si>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</si>
  <si>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</si>
  <si>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</si>
  <si>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</si>
  <si>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</si>
  <si>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</si>
  <si>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</si>
  <si>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</si>
  <si>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</si>
  <si>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</si>
  <si>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</si>
  <si>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</si>
  <si>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</si>
  <si>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</si>
  <si>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</si>
  <si>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</si>
  <si>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</si>
  <si>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</si>
  <si>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</si>
  <si>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</si>
  <si>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</si>
  <si>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</si>
  <si>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</si>
  <si>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</si>
  <si>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</si>
  <si>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</si>
  <si>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</si>
  <si>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</si>
  <si>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</si>
  <si>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</si>
  <si>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</si>
  <si>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</si>
  <si>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</si>
  <si>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</si>
  <si>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</si>
  <si>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</si>
  <si>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</si>
  <si>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</si>
  <si>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</si>
  <si>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</si>
  <si>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</si>
  <si>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</si>
  <si>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</si>
  <si>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</si>
  <si>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</si>
  <si>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</si>
  <si>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</si>
  <si>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</si>
  <si>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</si>
  <si>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</si>
  <si>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</si>
  <si>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</si>
  <si>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</si>
  <si>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</si>
  <si>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</si>
  <si>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</si>
  <si>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</si>
  <si>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</si>
  <si>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</si>
  <si>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</si>
  <si>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</si>
  <si>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</si>
  <si>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</si>
  <si>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</si>
  <si>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</si>
  <si>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</si>
  <si>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</si>
  <si>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</si>
  <si>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</si>
  <si>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</si>
  <si>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</si>
  <si>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</si>
  <si>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</si>
  <si>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</si>
  <si>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</si>
  <si>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</si>
  <si>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</si>
  <si>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</si>
  <si>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</si>
  <si>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</si>
  <si>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</si>
  <si>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</si>
  <si>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</si>
  <si>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</si>
  <si>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</si>
  <si>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</si>
  <si>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</si>
  <si>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</si>
  <si>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</si>
  <si>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</si>
  <si>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</si>
  <si>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</si>
  <si>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</si>
  <si>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</si>
  <si>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</si>
  <si>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</si>
  <si>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</si>
  <si>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</si>
  <si>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</si>
  <si>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</si>
  <si>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</si>
  <si>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</si>
  <si>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</si>
  <si>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</si>
  <si>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</si>
  <si>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</si>
  <si>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</si>
  <si>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</si>
  <si>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</si>
  <si>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</si>
  <si>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</si>
  <si>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</si>
  <si>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</si>
  <si>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</si>
  <si>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</si>
  <si>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</si>
  <si>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</si>
  <si>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</si>
  <si>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</si>
  <si>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</si>
  <si>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</si>
  <si>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</si>
  <si>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</si>
  <si>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</si>
  <si>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</si>
  <si>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</si>
  <si>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</si>
  <si>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</si>
  <si>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</si>
  <si>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</si>
  <si>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</si>
  <si>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</si>
  <si>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</si>
  <si>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</si>
  <si>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</si>
  <si>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</si>
  <si>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</si>
  <si>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</si>
  <si>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</si>
  <si>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</si>
  <si>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</si>
  <si>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</si>
  <si>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</si>
  <si>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</si>
  <si>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</si>
  <si>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</si>
  <si>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</si>
  <si>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</si>
  <si>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</si>
  <si>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</si>
  <si>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</si>
  <si>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</si>
  <si>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</si>
  <si>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</si>
  <si>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</si>
  <si>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</si>
  <si>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</si>
  <si>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</si>
  <si>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</si>
  <si>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</si>
  <si>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</si>
  <si>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</si>
  <si>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</si>
  <si>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</si>
  <si>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</si>
  <si>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</si>
  <si>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</si>
  <si>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</si>
  <si>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</si>
  <si>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</si>
  <si>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</si>
  <si>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</si>
  <si>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</si>
  <si>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</si>
  <si>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</si>
  <si>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</si>
  <si>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</si>
  <si>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</si>
  <si>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</si>
  <si>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</si>
  <si>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</si>
  <si>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</si>
  <si>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</si>
  <si>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</si>
  <si>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</si>
  <si>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</si>
  <si>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</si>
  <si>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</si>
  <si>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</si>
  <si>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</si>
  <si>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</si>
  <si>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</si>
  <si>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</si>
  <si>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</si>
  <si>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</si>
  <si>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</si>
  <si>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</si>
  <si>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</si>
  <si>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</si>
  <si>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</si>
  <si>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</si>
  <si>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</si>
  <si>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</si>
  <si>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</si>
  <si>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</si>
  <si>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</si>
  <si>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</si>
  <si>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</si>
  <si>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</si>
  <si>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</si>
  <si>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</si>
  <si>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</si>
  <si>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</si>
  <si>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</si>
  <si>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</si>
  <si>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</si>
  <si>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</si>
  <si>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</si>
  <si>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</si>
  <si>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</si>
  <si>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</si>
  <si>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</si>
  <si>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</si>
  <si>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</si>
  <si>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</si>
  <si>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</si>
  <si>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</si>
  <si>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</si>
  <si>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</si>
  <si>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</si>
  <si>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</si>
  <si>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</si>
  <si>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</si>
  <si>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</si>
  <si>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</si>
  <si>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</si>
  <si>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</si>
  <si>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</si>
  <si>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</si>
  <si>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</si>
  <si>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</si>
  <si>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</si>
  <si>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</si>
  <si>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</si>
  <si>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</si>
  <si>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</si>
  <si>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</si>
  <si>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</si>
  <si>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</si>
  <si>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</si>
  <si>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</si>
  <si>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</si>
  <si>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</si>
  <si>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</si>
  <si>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</si>
  <si>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</si>
  <si>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</si>
  <si>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</si>
  <si>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</si>
  <si>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</si>
  <si>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</si>
  <si>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</si>
  <si>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</si>
  <si>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</si>
  <si>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</si>
  <si>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</si>
  <si>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</si>
  <si>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</si>
  <si>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</si>
  <si>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</si>
  <si>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</si>
  <si>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</si>
  <si>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</si>
  <si>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</si>
  <si>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</si>
  <si>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</si>
  <si>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</si>
  <si>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</si>
  <si>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</si>
  <si>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</si>
  <si>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</si>
  <si>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</si>
  <si>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</si>
  <si>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</si>
  <si>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</si>
  <si>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</si>
  <si>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</si>
  <si>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</si>
  <si>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</si>
  <si>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</si>
  <si>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</si>
  <si>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</si>
  <si>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</si>
  <si>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</si>
  <si>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</si>
  <si>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</si>
  <si>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</si>
  <si>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</si>
  <si>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</si>
  <si>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</si>
  <si>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</si>
  <si>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</si>
  <si>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</si>
  <si>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</si>
  <si>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</si>
  <si>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</si>
  <si>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</si>
  <si>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</si>
  <si>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</si>
  <si>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</si>
  <si>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</si>
  <si>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</si>
  <si>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</si>
  <si>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</si>
  <si>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</si>
  <si>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</si>
  <si>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</si>
  <si>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</si>
  <si>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</si>
  <si>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</si>
  <si>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</si>
  <si>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</si>
  <si>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</si>
  <si>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</si>
  <si>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</si>
  <si>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</si>
  <si>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</si>
  <si>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</si>
  <si>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</si>
  <si>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</si>
  <si>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</si>
  <si>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</si>
  <si>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</si>
  <si>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</si>
  <si>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</si>
  <si>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</si>
  <si>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</si>
  <si>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</si>
  <si>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</si>
  <si>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</si>
  <si>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</si>
  <si>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</si>
  <si>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</si>
  <si>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</si>
  <si>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</si>
  <si>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</si>
  <si>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</si>
  <si>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</si>
  <si>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</si>
  <si>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</si>
  <si>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</si>
  <si>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</si>
  <si>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</si>
  <si>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</si>
  <si>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</si>
  <si>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</si>
  <si>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</si>
  <si>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</si>
  <si>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</si>
  <si>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</si>
  <si>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</si>
  <si>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</si>
  <si>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</si>
  <si>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</si>
  <si>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</si>
  <si>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</si>
  <si>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</si>
  <si>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</si>
  <si>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</si>
  <si>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</si>
  <si>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</si>
  <si>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</si>
  <si>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</si>
  <si>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</si>
  <si>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</si>
  <si>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</si>
  <si>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</si>
  <si>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</si>
  <si>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</si>
  <si>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</si>
  <si>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</si>
  <si>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</si>
  <si>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</si>
  <si>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</si>
  <si>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</si>
  <si>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</si>
  <si>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</si>
  <si>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</si>
  <si>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</si>
  <si>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</si>
  <si>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</si>
  <si>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</si>
  <si>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</si>
  <si>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</si>
  <si>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</si>
  <si>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</si>
  <si>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</si>
  <si>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</si>
  <si>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</si>
  <si>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</si>
  <si>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</si>
  <si>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</si>
  <si>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</si>
  <si>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</si>
  <si>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</si>
  <si>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</si>
  <si>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</si>
  <si>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</si>
  <si>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</si>
  <si>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</si>
  <si>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</si>
  <si>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</si>
  <si>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</si>
  <si>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</si>
  <si>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</si>
  <si>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</si>
  <si>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</si>
  <si>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</si>
  <si>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</si>
  <si>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</si>
  <si>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</si>
  <si>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</si>
  <si>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</si>
  <si>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</si>
  <si>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</si>
  <si>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</si>
  <si>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</si>
  <si>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</si>
  <si>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</si>
  <si>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</si>
  <si>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</si>
  <si>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</si>
  <si>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</si>
  <si>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</si>
  <si>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</si>
  <si>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</si>
  <si>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</si>
  <si>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</si>
  <si>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</si>
  <si>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</si>
  <si>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</si>
  <si>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</si>
  <si>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</si>
  <si>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</si>
  <si>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</si>
  <si>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</si>
  <si>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</si>
  <si>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</si>
  <si>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</si>
  <si>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</si>
  <si>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</si>
  <si>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</si>
  <si>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</si>
  <si>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</si>
  <si>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</si>
  <si>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</si>
  <si>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</si>
  <si>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</si>
  <si>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</si>
  <si>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</si>
  <si>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</si>
  <si>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</si>
  <si>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</si>
  <si>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</si>
  <si>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</si>
  <si>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</si>
  <si>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</si>
  <si>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</si>
  <si>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</si>
  <si>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</si>
  <si>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</si>
  <si>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</si>
  <si>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</si>
  <si>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</si>
  <si>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</si>
  <si>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</si>
  <si>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</si>
  <si>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</si>
  <si>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</si>
  <si>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</si>
  <si>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</si>
  <si>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</si>
  <si>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</si>
  <si>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</si>
  <si>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</si>
  <si>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</si>
  <si>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</si>
  <si>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</si>
  <si>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</si>
  <si>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</si>
  <si>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</si>
  <si>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</si>
  <si>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</si>
  <si>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</si>
  <si>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</si>
  <si>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</si>
  <si>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</si>
  <si>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</si>
  <si>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</si>
  <si>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</si>
  <si>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</si>
  <si>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</si>
  <si>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</si>
  <si>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</si>
  <si>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</si>
  <si>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</si>
  <si>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</si>
  <si>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</si>
  <si>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</si>
  <si>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</si>
  <si>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</si>
  <si>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</si>
  <si>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</si>
  <si>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</si>
  <si>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</si>
  <si>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</si>
  <si>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</si>
  <si>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</si>
  <si>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</si>
  <si>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</si>
  <si>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</si>
  <si>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</si>
  <si>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</si>
  <si>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</si>
  <si>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</si>
  <si>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</si>
  <si>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</si>
  <si>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</si>
  <si>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</si>
  <si>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</si>
  <si>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</si>
  <si>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</si>
  <si>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</si>
  <si>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</si>
  <si>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</si>
  <si>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</si>
  <si>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</si>
  <si>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</si>
  <si>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</si>
  <si>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</si>
  <si>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</si>
  <si>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</si>
  <si>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</si>
  <si>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</si>
  <si>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</si>
  <si>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</si>
  <si>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</si>
  <si>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</si>
  <si>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</si>
  <si>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</si>
  <si>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</si>
  <si>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</si>
  <si>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</si>
  <si>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</si>
  <si>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</si>
  <si>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</si>
  <si>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</si>
  <si>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</si>
  <si>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</si>
  <si>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</si>
  <si>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</si>
  <si>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</si>
  <si>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</si>
  <si>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</si>
  <si>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</si>
  <si>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</si>
  <si>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</si>
  <si>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</si>
  <si>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</si>
  <si>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</si>
  <si>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</si>
  <si>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</si>
  <si>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</si>
  <si>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</si>
  <si>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</si>
  <si>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</si>
  <si>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</si>
  <si>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</si>
  <si>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</si>
  <si>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</si>
  <si>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</si>
  <si>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</si>
  <si>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</si>
  <si>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</si>
  <si>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</si>
  <si>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</si>
  <si>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</si>
  <si>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</si>
  <si>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</si>
  <si>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</si>
  <si>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</si>
  <si>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</si>
  <si>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</si>
  <si>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</si>
  <si>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</si>
  <si>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</si>
  <si>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</si>
  <si>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</si>
  <si>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</si>
  <si>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</si>
  <si>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</si>
  <si>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</si>
  <si>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</si>
  <si>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</si>
  <si>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</si>
  <si>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</si>
  <si>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</si>
  <si>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</si>
  <si>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</si>
  <si>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</si>
  <si>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</si>
  <si>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</si>
  <si>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</si>
  <si>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</si>
  <si>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</si>
  <si>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</si>
  <si>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</si>
  <si>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</si>
  <si>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</si>
  <si>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</si>
  <si>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</si>
  <si>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</si>
  <si>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</si>
  <si>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</si>
  <si>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</si>
  <si>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</si>
  <si>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</si>
  <si>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</si>
  <si>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</si>
  <si>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</si>
  <si>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</si>
  <si>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</si>
  <si>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</si>
  <si>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</si>
  <si>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</si>
  <si>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</si>
  <si>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</si>
  <si>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</si>
  <si>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</si>
  <si>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</si>
  <si>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</si>
  <si>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</si>
  <si>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</si>
  <si>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</si>
  <si>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</si>
  <si>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</si>
  <si>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</si>
  <si>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</si>
  <si>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</si>
  <si>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</si>
  <si>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</si>
  <si>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</si>
  <si>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</si>
  <si>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</si>
  <si>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</si>
  <si>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</si>
  <si>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</si>
  <si>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</si>
  <si>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</si>
  <si>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</si>
  <si>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</si>
  <si>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</si>
  <si>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</si>
  <si>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</si>
  <si>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</si>
  <si>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</si>
  <si>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</si>
  <si>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</si>
  <si>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</si>
  <si>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</si>
  <si>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</si>
  <si>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</si>
  <si>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</si>
  <si>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</si>
  <si>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</si>
  <si>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</si>
  <si>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</si>
  <si>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</si>
  <si>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</si>
  <si>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</si>
  <si>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</si>
  <si>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</si>
  <si>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</si>
  <si>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</si>
  <si>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</si>
  <si>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</si>
  <si>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</si>
  <si>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</si>
  <si>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</si>
  <si>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</si>
  <si>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</si>
  <si>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</si>
  <si>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</si>
  <si>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</si>
  <si>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</si>
  <si>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</si>
  <si>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</si>
  <si>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</si>
  <si>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</si>
  <si>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</si>
  <si>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</si>
  <si>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</si>
  <si>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</si>
  <si>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</si>
  <si>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</si>
  <si>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</si>
  <si>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</si>
  <si>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</si>
  <si>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</si>
  <si>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</si>
  <si>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</si>
  <si>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</si>
  <si>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</si>
  <si>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</si>
  <si>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</si>
  <si>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</si>
  <si>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</si>
  <si>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</si>
  <si>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</si>
  <si>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</si>
  <si>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</si>
  <si>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</si>
  <si>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</si>
  <si>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</si>
  <si>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</si>
  <si>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</si>
  <si>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</si>
  <si>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</si>
  <si>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</si>
  <si>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</si>
  <si>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</si>
  <si>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</si>
  <si>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</si>
  <si>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</si>
  <si>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</si>
  <si>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</si>
  <si>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</si>
  <si>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</si>
  <si>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</si>
  <si>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</si>
  <si>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</si>
  <si>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</si>
  <si>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</si>
  <si>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</si>
  <si>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</si>
  <si>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</si>
  <si>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</si>
  <si>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</si>
  <si>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</si>
  <si>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</si>
  <si>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</si>
  <si>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</si>
  <si>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</si>
  <si>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</si>
  <si>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</si>
  <si>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</si>
  <si>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</si>
  <si>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</si>
  <si>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</si>
  <si>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</si>
  <si>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</si>
  <si>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</si>
  <si>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</si>
  <si>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</si>
  <si>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</si>
  <si>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</si>
  <si>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</si>
  <si>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</si>
  <si>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</si>
  <si>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</si>
  <si>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</si>
  <si>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</si>
  <si>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</si>
  <si>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</si>
  <si>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</si>
  <si>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</si>
  <si>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</si>
  <si>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</si>
  <si>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</si>
  <si>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</si>
  <si>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</si>
  <si>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</si>
  <si>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</si>
  <si>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</si>
  <si>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</si>
  <si>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</si>
  <si>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</si>
  <si>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</si>
  <si>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</si>
  <si>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</si>
  <si>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</si>
  <si>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</si>
  <si>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</si>
  <si>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</si>
  <si>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</si>
  <si>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</si>
  <si>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</si>
  <si>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</si>
  <si>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</si>
  <si>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</si>
  <si>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</si>
  <si>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</si>
  <si>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</si>
  <si>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</si>
  <si>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</si>
  <si>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</si>
  <si>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</si>
  <si>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</si>
  <si>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</si>
  <si>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</si>
  <si>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</si>
  <si>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</si>
  <si>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</si>
  <si>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</si>
  <si>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</si>
  <si>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</si>
  <si>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</si>
  <si>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</si>
  <si>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</si>
  <si>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</si>
  <si>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</si>
  <si>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</si>
  <si>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</si>
  <si>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</si>
  <si>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</si>
  <si>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</si>
  <si>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</si>
  <si>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</si>
  <si>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</si>
  <si>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</si>
  <si>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</si>
  <si>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</si>
  <si>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</si>
  <si>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</si>
  <si>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</si>
  <si>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</si>
  <si>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</si>
  <si>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</si>
  <si>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</si>
  <si>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</si>
  <si>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</si>
  <si>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</si>
  <si>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</si>
  <si>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</si>
  <si>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</si>
  <si>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</si>
  <si>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</si>
  <si>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</si>
  <si>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</si>
  <si>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</si>
  <si>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</si>
  <si>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</si>
  <si>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</si>
  <si>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</si>
  <si>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</si>
  <si>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</si>
  <si>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</si>
  <si>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</si>
  <si>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</si>
  <si>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</si>
  <si>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</si>
  <si>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</si>
  <si>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</si>
  <si>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</si>
  <si>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</si>
  <si>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</si>
  <si>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</si>
  <si>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</si>
  <si>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</si>
  <si>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</si>
  <si>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</si>
  <si>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</si>
  <si>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</si>
  <si>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</si>
  <si>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</si>
  <si>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</si>
  <si>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</si>
  <si>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</si>
  <si>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</si>
  <si>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</si>
  <si>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</si>
  <si>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</si>
  <si>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</si>
  <si>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</si>
  <si>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</si>
  <si>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</si>
  <si>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</si>
  <si>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</si>
  <si>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</si>
  <si>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</si>
  <si>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</si>
  <si>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</si>
  <si>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</si>
  <si>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</si>
  <si>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</si>
  <si>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</si>
  <si>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</si>
  <si>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</si>
  <si>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</si>
  <si>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</si>
  <si>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</si>
  <si>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</si>
  <si>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</si>
  <si>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</si>
  <si>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</si>
  <si>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</si>
  <si>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</si>
  <si>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</si>
  <si>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</si>
  <si>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</si>
  <si>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</si>
  <si>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</si>
  <si>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</si>
  <si>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</si>
  <si>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</si>
  <si>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</si>
  <si>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</si>
  <si>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</si>
  <si>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</si>
  <si>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</si>
  <si>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</si>
  <si>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</si>
  <si>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</si>
  <si>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</si>
  <si>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</si>
  <si>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</si>
  <si>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</si>
  <si>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</si>
  <si>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</si>
  <si>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</si>
  <si>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</si>
  <si>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</si>
  <si>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</si>
  <si>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</si>
  <si>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</si>
  <si>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</si>
  <si>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</si>
  <si>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</si>
  <si>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</si>
  <si>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</si>
  <si>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</si>
  <si>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</si>
  <si>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</si>
  <si>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</si>
  <si>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</si>
  <si>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</si>
  <si>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</si>
  <si>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</si>
  <si>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</si>
  <si>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</si>
  <si>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</si>
  <si>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</si>
  <si>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</si>
  <si>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</si>
  <si>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</si>
  <si>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</si>
  <si>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</si>
  <si>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</si>
  <si>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</si>
  <si>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</si>
  <si>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</si>
  <si>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</si>
  <si>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</si>
  <si>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</si>
  <si>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</si>
  <si>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</si>
  <si>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</si>
  <si>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</si>
  <si>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</si>
  <si>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</si>
  <si>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</si>
  <si>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</si>
  <si>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</si>
  <si>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</si>
  <si>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</si>
  <si>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</si>
  <si>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</si>
  <si>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</si>
  <si>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</si>
  <si>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</si>
  <si>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</si>
  <si>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</si>
  <si>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</si>
  <si>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</si>
  <si>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</si>
  <si>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</si>
  <si>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</si>
  <si>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</si>
  <si>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</si>
  <si>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</si>
  <si>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</si>
  <si>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</si>
  <si>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</si>
  <si>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</si>
  <si>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</si>
  <si>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</si>
  <si>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</si>
  <si>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</si>
  <si>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</si>
  <si>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</si>
  <si>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</si>
  <si>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</si>
  <si>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</si>
  <si>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</si>
  <si>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</si>
  <si>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</si>
  <si>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</si>
  <si>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</si>
  <si>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</si>
  <si>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</si>
  <si>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</si>
  <si>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</si>
  <si>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</si>
  <si>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</si>
  <si>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</si>
  <si>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</si>
  <si>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</si>
  <si>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</si>
  <si>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</si>
  <si>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</si>
  <si>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</si>
  <si>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</si>
  <si>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</si>
  <si>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</si>
  <si>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</si>
  <si>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</si>
  <si>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</si>
  <si>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</si>
  <si>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</si>
  <si>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</si>
  <si>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</si>
  <si>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</si>
  <si>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</si>
  <si>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</si>
  <si>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</si>
  <si>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</si>
  <si>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</si>
  <si>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</si>
  <si>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</si>
  <si>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</si>
  <si>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</si>
  <si>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</si>
  <si>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</si>
  <si>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</si>
  <si>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</si>
  <si>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</si>
  <si>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</si>
  <si>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</si>
  <si>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</si>
  <si>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</si>
  <si>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</si>
  <si>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</si>
  <si>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</si>
  <si>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</si>
  <si>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</si>
  <si>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</si>
  <si>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</si>
  <si>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</si>
  <si>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</si>
  <si>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</si>
  <si>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</si>
  <si>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</si>
  <si>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</si>
  <si>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</si>
  <si>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</si>
  <si>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</si>
  <si>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</si>
  <si>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</si>
  <si>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</si>
  <si>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</si>
  <si>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</si>
  <si>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</si>
  <si>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</si>
  <si>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</si>
  <si>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</si>
  <si>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</si>
  <si>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</si>
  <si>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</si>
  <si>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</si>
  <si>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</si>
  <si>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</si>
  <si>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</si>
  <si>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</si>
  <si>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</si>
  <si>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</si>
  <si>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</si>
  <si>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</si>
  <si>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</si>
  <si>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</si>
  <si>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</si>
  <si>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</si>
  <si>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</si>
  <si>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</si>
  <si>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</si>
  <si>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</si>
  <si>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</si>
  <si>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</si>
  <si>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</si>
  <si>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</si>
  <si>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</si>
  <si>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</si>
  <si>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</si>
  <si>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</si>
  <si>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</si>
  <si>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</si>
  <si>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</si>
  <si>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</si>
  <si>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</si>
  <si>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</si>
  <si>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</si>
  <si>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</si>
  <si>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</si>
  <si>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</si>
  <si>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</si>
  <si>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</si>
  <si>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</si>
  <si>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</si>
  <si>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</si>
  <si>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</si>
  <si>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</si>
  <si>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</si>
  <si>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</si>
  <si>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</si>
  <si>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</si>
  <si>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</si>
  <si>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</si>
  <si>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</si>
  <si>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</si>
  <si>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</si>
  <si>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</si>
  <si>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</si>
  <si>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</si>
  <si>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</si>
  <si>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</si>
  <si>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</si>
  <si>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</si>
  <si>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</si>
  <si>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</si>
  <si>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</si>
  <si>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</si>
  <si>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</si>
  <si>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</si>
  <si>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</si>
  <si>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</si>
  <si>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</si>
  <si>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</si>
  <si>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</si>
  <si>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</si>
  <si>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</si>
  <si>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</si>
  <si>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</si>
  <si>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</si>
  <si>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</si>
  <si>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</si>
  <si>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</si>
  <si>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</si>
  <si>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</si>
  <si>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</si>
  <si>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</si>
  <si>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</si>
  <si>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</si>
  <si>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</si>
  <si>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</si>
  <si>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</si>
  <si>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</si>
  <si>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</si>
  <si>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</si>
  <si>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</si>
  <si>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</si>
  <si>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</si>
  <si>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</si>
  <si>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</si>
  <si>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</si>
  <si>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</si>
  <si>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</si>
  <si>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</si>
  <si>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</si>
  <si>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</si>
  <si>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</si>
  <si>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</si>
  <si>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</si>
  <si>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</si>
  <si>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</si>
  <si>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</si>
  <si>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</si>
  <si>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</si>
  <si>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</si>
  <si>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</si>
  <si>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</si>
  <si>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</si>
  <si>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</si>
  <si>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</si>
  <si>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</si>
  <si>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</si>
  <si>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</si>
  <si>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</si>
  <si>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</si>
  <si>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</si>
  <si>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</si>
  <si>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</si>
  <si>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</si>
  <si>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</si>
  <si>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</si>
  <si>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</si>
  <si>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</si>
  <si>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</si>
  <si>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</si>
  <si>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</si>
  <si>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</si>
  <si>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</si>
  <si>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</si>
  <si>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</si>
  <si>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</si>
  <si>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</si>
  <si>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</si>
  <si>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</si>
  <si>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</si>
  <si>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</si>
  <si>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</si>
  <si>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</si>
  <si>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</si>
  <si>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</si>
  <si>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</si>
  <si>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</si>
  <si>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</si>
  <si>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</si>
  <si>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</si>
  <si>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</si>
  <si>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</si>
  <si>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</si>
  <si>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</si>
  <si>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</si>
  <si>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</si>
  <si>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</si>
  <si>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</si>
  <si>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</si>
  <si>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</si>
  <si>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</si>
  <si>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</si>
  <si>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</si>
  <si>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</si>
  <si>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</si>
  <si>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</si>
  <si>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</si>
  <si>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</si>
  <si>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</si>
  <si>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</si>
  <si>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</si>
  <si>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</si>
  <si>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</si>
  <si>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</si>
  <si>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</si>
  <si>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</si>
  <si>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</si>
  <si>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</si>
  <si>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</si>
  <si>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</si>
  <si>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</si>
  <si>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</si>
  <si>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</si>
  <si>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</si>
  <si>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</si>
  <si>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</si>
  <si>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</si>
  <si>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</si>
  <si>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</si>
  <si>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</si>
  <si>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</si>
  <si>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</si>
  <si>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</si>
  <si>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</si>
  <si>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</si>
  <si>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</si>
  <si>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</si>
  <si>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</si>
  <si>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</si>
  <si>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</si>
  <si>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</si>
  <si>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</si>
  <si>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</si>
  <si>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</si>
  <si>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</si>
  <si>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</si>
  <si>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</si>
  <si>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</si>
  <si>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</si>
  <si>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</si>
  <si>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</si>
  <si>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</si>
  <si>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</si>
  <si>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</si>
  <si>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</si>
  <si>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</si>
  <si>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</si>
  <si>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</si>
  <si>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</si>
  <si>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</si>
  <si>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</si>
  <si>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</si>
  <si>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</si>
  <si>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</si>
  <si>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</si>
  <si>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</si>
  <si>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</si>
  <si>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</si>
  <si>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</si>
  <si>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</si>
  <si>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</si>
  <si>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</si>
  <si>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</si>
  <si>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</si>
  <si>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</si>
  <si>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</si>
  <si>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</si>
  <si>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</si>
  <si>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</si>
  <si>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</si>
  <si>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</si>
  <si>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</si>
  <si>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</si>
  <si>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</si>
  <si>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</si>
  <si>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</si>
  <si>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</si>
  <si>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</si>
  <si>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</si>
  <si>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</si>
  <si>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</si>
  <si>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</si>
  <si>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</si>
  <si>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</si>
  <si>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</si>
  <si>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</si>
  <si>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</si>
  <si>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</si>
  <si>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</si>
  <si>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</si>
  <si>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</si>
  <si>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</si>
  <si>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</si>
  <si>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</si>
  <si>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</si>
  <si>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</si>
  <si>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</si>
  <si>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</si>
  <si>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</si>
  <si>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</si>
  <si>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</si>
  <si>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</si>
  <si>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</si>
  <si>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</si>
  <si>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</si>
  <si>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</si>
  <si>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</si>
  <si>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</si>
  <si>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</si>
  <si>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</si>
  <si>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</si>
  <si>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</si>
  <si>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</si>
  <si>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</si>
  <si>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</si>
  <si>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</si>
  <si>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</si>
  <si>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</si>
  <si>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</si>
  <si>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</si>
  <si>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</si>
  <si>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</si>
  <si>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</si>
  <si>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</si>
  <si>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</si>
  <si>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</si>
  <si>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</si>
  <si>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</si>
  <si>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</si>
  <si>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</si>
  <si>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</si>
  <si>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</si>
  <si>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</si>
  <si>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</si>
  <si>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</si>
  <si>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</si>
  <si>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</si>
  <si>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</si>
  <si>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</si>
  <si>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</si>
  <si>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</si>
  <si>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</si>
  <si>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</si>
  <si>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</si>
  <si>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</si>
  <si>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</si>
  <si>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</si>
  <si>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</si>
  <si>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</si>
  <si>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</si>
  <si>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</si>
  <si>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</si>
  <si>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</si>
  <si>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</si>
  <si>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</si>
  <si>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</si>
  <si>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</si>
  <si>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</si>
  <si>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</si>
  <si>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</si>
  <si>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</si>
  <si>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</si>
  <si>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</si>
  <si>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</si>
  <si>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</si>
  <si>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</si>
  <si>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</si>
  <si>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</si>
  <si>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</si>
  <si>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</si>
  <si>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</si>
  <si>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</si>
  <si>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</si>
  <si>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</si>
  <si>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</si>
  <si>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</si>
  <si>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</si>
  <si>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</si>
  <si>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</si>
  <si>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</si>
  <si>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</si>
  <si>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</si>
  <si>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</si>
  <si>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</si>
  <si>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</si>
  <si>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</si>
  <si>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</si>
  <si>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</si>
  <si>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</si>
  <si>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</si>
  <si>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</si>
  <si>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</si>
  <si>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</si>
  <si>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</si>
  <si>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</si>
  <si>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</si>
  <si>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</si>
  <si>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</si>
  <si>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</si>
  <si>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</si>
  <si>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</si>
  <si>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</si>
  <si>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</si>
  <si>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</si>
  <si>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</si>
  <si>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</si>
  <si>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</si>
  <si>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</si>
  <si>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</si>
  <si>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</si>
  <si>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</si>
  <si>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</si>
  <si>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</si>
  <si>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</si>
  <si>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</si>
  <si>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</si>
  <si>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</si>
  <si>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</si>
  <si>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</si>
  <si>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</si>
  <si>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</si>
  <si>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</si>
  <si>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</si>
  <si>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</si>
  <si>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</si>
  <si>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</si>
  <si>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</si>
  <si>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</si>
  <si>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</si>
  <si>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</si>
  <si>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</si>
  <si>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</si>
  <si>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</si>
  <si>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</si>
  <si>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</si>
  <si>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</si>
  <si>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</si>
  <si>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</si>
  <si>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</si>
  <si>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</si>
  <si>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</si>
  <si>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</si>
  <si>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</si>
  <si>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</si>
  <si>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</si>
  <si>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</si>
  <si>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</si>
  <si>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</si>
  <si>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</si>
  <si>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</si>
  <si>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</si>
  <si>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</si>
  <si>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</si>
  <si>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</si>
  <si>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</si>
  <si>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</si>
  <si>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</si>
  <si>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</si>
  <si>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</si>
  <si>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</si>
  <si>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</si>
  <si>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</si>
  <si>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</si>
  <si>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</si>
  <si>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</si>
  <si>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</si>
  <si>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</si>
  <si>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</si>
  <si>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</si>
  <si>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</si>
  <si>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</si>
  <si>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</si>
  <si>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</si>
  <si>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</si>
  <si>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</si>
  <si>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</si>
  <si>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</si>
  <si>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</si>
  <si>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</si>
  <si>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</si>
  <si>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</si>
  <si>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</si>
  <si>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</si>
  <si>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</si>
  <si>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</si>
  <si>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</si>
  <si>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</si>
  <si>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</si>
  <si>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</si>
  <si>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</si>
  <si>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</si>
  <si>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</si>
  <si>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</si>
  <si>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</si>
  <si>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</si>
  <si>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</si>
  <si>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</si>
  <si>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</si>
  <si>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</si>
  <si>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</si>
  <si>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</si>
  <si>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</si>
  <si>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</si>
  <si>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</si>
  <si>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</si>
  <si>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</si>
  <si>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</si>
  <si>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</si>
  <si>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</si>
  <si>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</si>
  <si>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</si>
  <si>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</si>
  <si>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</si>
  <si>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</si>
  <si>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</si>
  <si>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</si>
  <si>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</si>
  <si>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</si>
  <si>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</si>
  <si>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</si>
  <si>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</si>
  <si>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</si>
  <si>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</si>
  <si>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</si>
  <si>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</si>
  <si>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</si>
  <si>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</si>
  <si>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</si>
  <si>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</si>
  <si>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</si>
  <si>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</si>
  <si>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</si>
  <si>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</si>
  <si>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</si>
  <si>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</si>
  <si>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</si>
  <si>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</si>
  <si>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</si>
  <si>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</si>
  <si>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</si>
  <si>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</si>
  <si>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</si>
  <si>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</si>
  <si>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</si>
  <si>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</si>
  <si>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</si>
  <si>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</si>
  <si>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</si>
  <si>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</si>
  <si>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</si>
  <si>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</si>
  <si>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</si>
  <si>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</si>
  <si>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</si>
  <si>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</si>
  <si>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</si>
  <si>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</si>
  <si>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</si>
  <si>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</si>
  <si>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</si>
  <si>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</si>
  <si>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</si>
  <si>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</si>
  <si>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</si>
  <si>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</si>
  <si>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</si>
  <si>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</si>
  <si>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</si>
  <si>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</si>
  <si>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</si>
  <si>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</si>
  <si>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</si>
  <si>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</si>
  <si>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</si>
  <si>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</si>
  <si>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</si>
  <si>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</si>
  <si>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</si>
  <si>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</si>
  <si>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</si>
  <si>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</si>
  <si>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</si>
  <si>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</si>
  <si>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</si>
  <si>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</si>
  <si>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</si>
  <si>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</si>
  <si>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</si>
  <si>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</si>
  <si>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</si>
  <si>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</si>
  <si>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</si>
  <si>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</si>
  <si>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</si>
  <si>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</si>
  <si>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</si>
  <si>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</si>
  <si>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</si>
  <si>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</si>
  <si>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</si>
  <si>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</si>
  <si>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</si>
  <si>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</si>
  <si>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</si>
  <si>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</si>
  <si>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</si>
  <si>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</si>
  <si>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</si>
  <si>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</si>
  <si>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</si>
  <si>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</si>
  <si>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</si>
  <si>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</si>
  <si>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</si>
  <si>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</si>
  <si>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</si>
  <si>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</si>
  <si>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</si>
  <si>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</si>
  <si>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</si>
  <si>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</si>
  <si>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</si>
  <si>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</si>
  <si>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</si>
  <si>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</si>
  <si>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</si>
  <si>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</si>
  <si>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</si>
  <si>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</si>
  <si>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</si>
  <si>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</si>
  <si>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</si>
  <si>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</si>
  <si>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</si>
  <si>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</si>
  <si>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</si>
  <si>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</si>
  <si>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</si>
  <si>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</si>
  <si>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</si>
  <si>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</si>
  <si>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</si>
  <si>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</si>
  <si>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</si>
  <si>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</si>
  <si>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</si>
  <si>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</si>
  <si>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</si>
  <si>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</si>
  <si>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</si>
  <si>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</si>
  <si>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</si>
  <si>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</si>
  <si>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</si>
  <si>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</si>
  <si>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</si>
  <si>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</si>
  <si>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</si>
  <si>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</si>
  <si>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</si>
  <si>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</si>
  <si>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</si>
  <si>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</si>
  <si>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</si>
  <si>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</si>
  <si>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</si>
  <si>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</si>
  <si>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</si>
  <si>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</si>
  <si>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</si>
  <si>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</si>
  <si>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</si>
  <si>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</si>
  <si>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</si>
  <si>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</si>
  <si>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</si>
  <si>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</si>
  <si>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</si>
  <si>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</si>
  <si>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</si>
  <si>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</si>
  <si>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</si>
  <si>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</si>
  <si>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</si>
  <si>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</si>
  <si>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</si>
  <si>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</si>
  <si>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</si>
  <si>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</si>
  <si>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</si>
  <si>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</si>
  <si>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</si>
  <si>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</si>
  <si>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</si>
  <si>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</si>
  <si>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</si>
  <si>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</si>
  <si>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</si>
  <si>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</si>
  <si>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</si>
  <si>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</si>
  <si>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</si>
  <si>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</si>
  <si>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</si>
  <si>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</si>
  <si>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</si>
  <si>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</si>
  <si>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</si>
  <si>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</si>
  <si>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</si>
  <si>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</si>
  <si>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</si>
  <si>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</si>
  <si>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</si>
  <si>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</si>
  <si>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</si>
  <si>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</si>
  <si>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</si>
  <si>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</si>
  <si>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</si>
  <si>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</si>
  <si>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</si>
  <si>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</si>
  <si>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</si>
  <si>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</si>
  <si>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</si>
  <si>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</si>
  <si>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</si>
  <si>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</si>
  <si>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</si>
  <si>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</si>
  <si>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</si>
  <si>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</si>
  <si>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</si>
  <si>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</si>
  <si>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</si>
  <si>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</si>
  <si>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</si>
  <si>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</si>
  <si>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</si>
  <si>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</si>
  <si>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</si>
  <si>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</si>
  <si>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</si>
  <si>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</si>
  <si>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</si>
  <si>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</si>
  <si>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</si>
  <si>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</si>
  <si>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</si>
  <si>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</si>
  <si>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</si>
  <si>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</si>
  <si>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</si>
  <si>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</si>
  <si>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</si>
  <si>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</si>
  <si>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</si>
  <si>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</si>
  <si>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</si>
  <si>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</si>
  <si>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</si>
  <si>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</si>
  <si>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</si>
  <si>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</si>
  <si>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</si>
  <si>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</si>
  <si>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</si>
  <si>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</si>
  <si>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</si>
  <si>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</si>
  <si>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</si>
  <si>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</si>
  <si>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</si>
  <si>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</si>
  <si>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</si>
  <si>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</si>
  <si>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</si>
  <si>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</si>
  <si>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</si>
  <si>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</si>
  <si>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</si>
  <si>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</si>
  <si>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</si>
  <si>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</si>
  <si>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</si>
  <si>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</si>
  <si>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</si>
  <si>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</si>
  <si>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</si>
  <si>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</si>
  <si>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</si>
  <si>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</si>
  <si>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</si>
  <si>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</si>
  <si>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</si>
  <si>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</si>
  <si>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</si>
  <si>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</si>
  <si>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</si>
  <si>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</si>
  <si>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</si>
  <si>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</si>
  <si>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</si>
  <si>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</si>
  <si>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</si>
  <si>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</si>
  <si>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</si>
  <si>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</si>
  <si>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</si>
  <si>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</si>
  <si>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</si>
  <si>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</si>
  <si>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</si>
  <si>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</si>
  <si>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</si>
  <si>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</si>
  <si>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</si>
  <si>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</si>
  <si>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</si>
  <si>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</si>
  <si>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</si>
  <si>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</si>
  <si>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</si>
  <si>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</si>
  <si>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</si>
  <si>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</si>
  <si>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</si>
  <si>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</si>
  <si>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</si>
  <si>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</si>
  <si>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</si>
  <si>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</si>
  <si>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</si>
  <si>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</si>
  <si>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</si>
  <si>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</si>
  <si>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</si>
  <si>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</si>
  <si>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</si>
  <si>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</si>
  <si>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</si>
  <si>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</si>
  <si>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</si>
  <si>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</si>
  <si>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</si>
  <si>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</si>
  <si>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</si>
  <si>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</si>
  <si>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</si>
  <si>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</si>
  <si>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</si>
  <si>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</si>
  <si>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</si>
  <si>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</si>
  <si>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</si>
  <si>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</si>
  <si>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</si>
  <si>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</si>
  <si>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</si>
  <si>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</si>
  <si>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</si>
  <si>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</si>
  <si>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</si>
  <si>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</si>
  <si>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</si>
  <si>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</si>
  <si>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</si>
  <si>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</si>
  <si>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</si>
  <si>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</si>
  <si>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</si>
  <si>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</si>
  <si>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</si>
  <si>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</si>
  <si>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</si>
  <si>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</si>
  <si>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</si>
  <si>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</si>
  <si>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</si>
  <si>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</si>
  <si>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</si>
  <si>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</si>
  <si>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</si>
  <si>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</si>
  <si>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</si>
  <si>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</si>
  <si>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</si>
  <si>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</si>
  <si>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</si>
  <si>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</si>
  <si>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</si>
  <si>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</si>
  <si>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</si>
  <si>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</si>
  <si>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</si>
  <si>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</si>
  <si>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</si>
  <si>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</si>
  <si>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</si>
  <si>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</si>
  <si>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</si>
  <si>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</si>
  <si>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</si>
  <si>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</si>
  <si>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</si>
  <si>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</si>
  <si>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</si>
  <si>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</si>
  <si>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</si>
  <si>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</si>
  <si>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</si>
  <si>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</si>
  <si>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</si>
  <si>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</si>
  <si>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</si>
  <si>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</si>
  <si>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</si>
  <si>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</si>
  <si>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</si>
  <si>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</si>
  <si>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</si>
  <si>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</si>
  <si>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</si>
  <si>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</si>
  <si>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</si>
  <si>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</si>
  <si>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</si>
  <si>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</si>
  <si>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</si>
  <si>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</si>
  <si>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</si>
  <si>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</si>
  <si>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</si>
  <si>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</si>
  <si>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</si>
  <si>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</si>
  <si>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</si>
  <si>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</si>
  <si>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</si>
  <si>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</si>
  <si>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</si>
  <si>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</si>
  <si>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</si>
  <si>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</si>
  <si>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</si>
  <si>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</si>
  <si>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</si>
  <si>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</si>
  <si>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</si>
  <si>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</si>
  <si>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</si>
  <si>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</si>
  <si>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</si>
  <si>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</si>
  <si>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</si>
  <si>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</si>
  <si>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</si>
  <si>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</si>
  <si>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</si>
  <si>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</si>
  <si>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</si>
  <si>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</si>
  <si>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</si>
  <si>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</si>
  <si>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</si>
  <si>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</si>
  <si>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</si>
  <si>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</si>
  <si>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</si>
  <si>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</si>
  <si>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</si>
  <si>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</si>
  <si>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</si>
  <si>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</si>
  <si>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</si>
  <si>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</si>
  <si>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</si>
  <si>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</si>
  <si>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</si>
  <si>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</si>
  <si>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</si>
  <si>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</si>
  <si>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</si>
  <si>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</si>
  <si>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</si>
  <si>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</si>
  <si>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</si>
  <si>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</si>
  <si>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</si>
  <si>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</si>
  <si>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</si>
  <si>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</si>
  <si>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</si>
  <si>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</si>
  <si>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</si>
  <si>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</si>
  <si>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</si>
  <si>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</si>
  <si>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</si>
  <si>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</si>
  <si>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</si>
  <si>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</si>
  <si>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</si>
  <si>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</si>
  <si>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</si>
  <si>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</si>
  <si>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</si>
  <si>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</si>
  <si>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</si>
  <si>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</si>
  <si>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</si>
  <si>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</si>
  <si>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</si>
  <si>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</si>
  <si>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</si>
  <si>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</si>
  <si>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</si>
  <si>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</si>
  <si>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</si>
  <si>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</si>
  <si>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</si>
  <si>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</si>
  <si>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</si>
  <si>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</si>
  <si>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</si>
  <si>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</si>
  <si>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</si>
  <si>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</si>
  <si>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</si>
  <si>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</si>
  <si>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</si>
  <si>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</si>
  <si>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</si>
  <si>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</si>
  <si>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</si>
  <si>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</si>
  <si>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</si>
  <si>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</si>
  <si>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</si>
  <si>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</si>
  <si>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</si>
  <si>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</si>
  <si>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</si>
  <si>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</si>
  <si>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</si>
  <si>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</si>
  <si>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</si>
  <si>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</si>
  <si>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</si>
  <si>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</si>
  <si>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</si>
  <si>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</si>
  <si>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</si>
  <si>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</si>
  <si>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</si>
  <si>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</si>
  <si>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</si>
  <si>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</si>
  <si>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</si>
  <si>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</si>
  <si>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</si>
  <si>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</si>
  <si>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</si>
  <si>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</si>
  <si>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</si>
  <si>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</si>
  <si>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</si>
  <si>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</si>
  <si>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</si>
  <si>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</si>
  <si>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</si>
  <si>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</si>
  <si>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</si>
  <si>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</si>
  <si>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</si>
  <si>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</si>
  <si>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</si>
  <si>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</si>
  <si>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</si>
  <si>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</si>
  <si>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</si>
  <si>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</si>
  <si>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</si>
  <si>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</si>
  <si>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</si>
  <si>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</si>
  <si>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</si>
  <si>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</si>
  <si>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</si>
  <si>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</si>
  <si>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</si>
  <si>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</si>
  <si>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</si>
  <si>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</si>
  <si>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</si>
  <si>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</si>
  <si>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</si>
  <si>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</si>
  <si>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</si>
  <si>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</si>
  <si>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</si>
  <si>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</si>
  <si>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</si>
  <si>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</si>
  <si>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</si>
  <si>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</si>
  <si>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</si>
  <si>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</si>
  <si>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</si>
  <si>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</si>
  <si>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</si>
  <si>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</si>
  <si>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</si>
  <si>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</si>
  <si>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</si>
  <si>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</si>
  <si>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</si>
  <si>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</si>
  <si>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</si>
  <si>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</si>
  <si>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</si>
  <si>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</si>
  <si>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</si>
  <si>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</si>
  <si>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</si>
  <si>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</si>
  <si>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</si>
  <si>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</si>
  <si>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</si>
  <si>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</si>
  <si>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</si>
  <si>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</si>
  <si>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</si>
  <si>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</si>
  <si>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</si>
  <si>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</si>
  <si>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</si>
  <si>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</si>
  <si>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</si>
  <si>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</si>
  <si>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</si>
  <si>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</si>
  <si>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</si>
  <si>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</si>
  <si>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</si>
  <si>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</si>
  <si>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</si>
  <si>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</si>
  <si>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</si>
  <si>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</si>
  <si>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</si>
  <si>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</si>
  <si>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</si>
  <si>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</si>
  <si>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</si>
  <si>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</si>
  <si>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</si>
  <si>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</si>
  <si>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</si>
  <si>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</si>
  <si>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</si>
  <si>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</si>
  <si>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</si>
  <si>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</si>
  <si>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</si>
  <si>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</si>
  <si>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</si>
  <si>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</si>
  <si>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</si>
  <si>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</si>
  <si>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</si>
  <si>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</si>
  <si>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</si>
  <si>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</si>
  <si>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</si>
  <si>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</si>
  <si>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</si>
  <si>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</si>
  <si>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</si>
  <si>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</si>
  <si>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</si>
  <si>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</si>
  <si>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</si>
  <si>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</si>
  <si>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</si>
  <si>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</si>
  <si>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</si>
  <si>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</si>
  <si>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</si>
  <si>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</si>
  <si>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</si>
  <si>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</si>
  <si>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</si>
  <si>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</si>
  <si>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</si>
  <si>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</si>
  <si>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</si>
  <si>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</si>
  <si>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</si>
  <si>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</si>
  <si>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</si>
  <si>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</si>
  <si>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</si>
  <si>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</si>
  <si>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</si>
  <si>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</si>
  <si>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</si>
  <si>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</si>
  <si>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</si>
  <si>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</si>
  <si>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</si>
  <si>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</si>
  <si>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</si>
  <si>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</si>
  <si>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</si>
  <si>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</si>
  <si>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</si>
  <si>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</si>
  <si>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</si>
  <si>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</si>
  <si>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</si>
  <si>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</si>
  <si>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</si>
  <si>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</si>
  <si>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</si>
  <si>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</si>
  <si>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</si>
  <si>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</si>
  <si>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</si>
  <si>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</si>
  <si>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</si>
  <si>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</si>
  <si>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</si>
  <si>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</si>
  <si>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</si>
  <si>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</si>
  <si>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</si>
  <si>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</si>
  <si>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</si>
  <si>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</si>
  <si>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</si>
  <si>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</si>
  <si>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</si>
  <si>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</si>
  <si>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</si>
  <si>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</si>
  <si>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</si>
  <si>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</si>
  <si>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</si>
  <si>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</si>
  <si>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</si>
  <si>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</si>
  <si>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</si>
  <si>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</si>
  <si>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</si>
  <si>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</si>
  <si>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</si>
  <si>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</si>
  <si>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</si>
  <si>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</si>
  <si>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</si>
  <si>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</si>
  <si>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</si>
  <si>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</si>
  <si>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</si>
  <si>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</si>
  <si>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</si>
  <si>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</si>
  <si>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</si>
  <si>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</si>
  <si>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</si>
  <si>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</si>
  <si>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</si>
  <si>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</si>
  <si>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</si>
  <si>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</si>
  <si>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</si>
  <si>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</si>
  <si>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</si>
  <si>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</si>
  <si>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</si>
  <si>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</si>
  <si>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</si>
  <si>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</si>
  <si>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</si>
  <si>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</si>
  <si>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</si>
  <si>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</si>
  <si>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</si>
  <si>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</si>
  <si>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</si>
  <si>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</si>
  <si>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</si>
  <si>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</si>
  <si>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</si>
  <si>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</si>
  <si>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</si>
  <si>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</si>
  <si>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</si>
  <si>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</si>
  <si>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</si>
  <si>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</si>
  <si>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</si>
  <si>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</si>
  <si>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</si>
  <si>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</si>
  <si>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</si>
  <si>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</si>
  <si>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</si>
  <si>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</si>
  <si>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</si>
  <si>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</si>
  <si>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</si>
  <si>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</si>
  <si>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</si>
  <si>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</si>
  <si>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</si>
  <si>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</si>
  <si>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</si>
  <si>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</si>
  <si>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</si>
  <si>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</si>
  <si>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</si>
  <si>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</si>
  <si>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</si>
  <si>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</si>
  <si>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</si>
  <si>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</si>
  <si>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</si>
  <si>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</si>
  <si>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</si>
  <si>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</si>
  <si>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</si>
  <si>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</si>
  <si>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</si>
  <si>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</si>
  <si>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</si>
  <si>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</si>
  <si>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</si>
  <si>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</si>
  <si>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</si>
  <si>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</si>
  <si>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</si>
  <si>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</si>
  <si>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</si>
  <si>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</si>
  <si>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</si>
  <si>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</si>
  <si>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</si>
  <si>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</si>
  <si>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</si>
  <si>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</si>
  <si>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</si>
  <si>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</si>
  <si>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</si>
  <si>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</si>
  <si>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</si>
  <si>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</si>
  <si>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</si>
  <si>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</si>
  <si>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</si>
  <si>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</si>
  <si>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</si>
  <si>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</si>
  <si>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</si>
  <si>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</si>
  <si>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</si>
  <si>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</si>
  <si>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</si>
  <si>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</si>
  <si>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</si>
  <si>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</si>
  <si>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</si>
  <si>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</si>
  <si>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</si>
  <si>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</si>
  <si>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</si>
  <si>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</si>
  <si>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</si>
  <si>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</si>
  <si>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</si>
  <si>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</si>
  <si>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</si>
  <si>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</si>
  <si>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</si>
  <si>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</si>
  <si>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</si>
  <si>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</si>
  <si>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</si>
  <si>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</si>
  <si>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</si>
  <si>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</si>
  <si>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</si>
  <si>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</si>
  <si>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</si>
  <si>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</si>
  <si>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</si>
  <si>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</si>
  <si>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</si>
  <si>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</si>
  <si>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</si>
  <si>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</si>
  <si>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</si>
  <si>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</si>
  <si>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</si>
  <si>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</si>
  <si>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</si>
  <si>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</si>
  <si>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</si>
  <si>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</si>
  <si>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</si>
  <si>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</si>
  <si>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</si>
  <si>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</si>
  <si>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</si>
  <si>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</si>
  <si>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</si>
  <si>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</si>
  <si>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</si>
  <si>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</si>
  <si>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</si>
  <si>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</si>
  <si>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</si>
  <si>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</si>
  <si>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</si>
  <si>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</si>
  <si>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</si>
  <si>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</si>
  <si>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</si>
  <si>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</si>
  <si>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</si>
  <si>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</si>
  <si>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</si>
  <si>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</si>
  <si>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</si>
  <si>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</si>
  <si>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</si>
  <si>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</si>
  <si>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</si>
  <si>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</si>
  <si>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</si>
  <si>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</si>
  <si>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</si>
  <si>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</si>
  <si>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</si>
  <si>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</si>
  <si>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</si>
  <si>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</si>
  <si>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</si>
  <si>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</si>
  <si>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</si>
  <si>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</si>
  <si>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</si>
  <si>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</si>
  <si>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</si>
  <si>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</si>
  <si>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</si>
  <si>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</si>
  <si>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</si>
  <si>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</si>
  <si>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</si>
  <si>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</si>
  <si>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</si>
  <si>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</si>
  <si>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</si>
  <si>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</si>
  <si>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</si>
  <si>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</si>
  <si>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</si>
  <si>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</si>
  <si>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</si>
  <si>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</si>
  <si>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</si>
  <si>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</si>
  <si>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</si>
  <si>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</si>
  <si>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</si>
  <si>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</si>
  <si>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</si>
  <si>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</si>
  <si>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</si>
  <si>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</si>
  <si>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</si>
  <si>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</si>
  <si>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</si>
  <si>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</si>
  <si>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</si>
  <si>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</si>
  <si>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</si>
  <si>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</si>
  <si>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</si>
  <si>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</si>
  <si>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</si>
  <si>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</si>
  <si>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</si>
  <si>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</si>
  <si>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</si>
  <si>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</si>
  <si>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</si>
  <si>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</si>
  <si>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</si>
  <si>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</si>
  <si>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</si>
  <si>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</si>
  <si>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</si>
  <si>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</si>
  <si>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</si>
  <si>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</si>
  <si>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</si>
  <si>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</si>
  <si>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</si>
  <si>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</si>
  <si>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</si>
  <si>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</si>
  <si>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</si>
  <si>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</si>
  <si>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</si>
  <si>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</si>
  <si>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</si>
  <si>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</si>
  <si>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</si>
  <si>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</si>
  <si>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</si>
  <si>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</si>
  <si>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</si>
  <si>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</si>
  <si>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</si>
  <si>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</si>
  <si>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</si>
  <si>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</si>
  <si>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</si>
  <si>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</si>
  <si>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</si>
  <si>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</si>
  <si>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</si>
  <si>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</si>
  <si>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</si>
  <si>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</si>
  <si>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</si>
  <si>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</si>
  <si>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</si>
  <si>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</si>
  <si>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</si>
  <si>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</si>
  <si>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</si>
  <si>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</si>
  <si>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</si>
  <si>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</si>
  <si>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</si>
  <si>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</si>
  <si>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</si>
  <si>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</si>
  <si>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</si>
  <si>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</si>
  <si>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</si>
  <si>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</si>
  <si>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</si>
  <si>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</si>
  <si>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</si>
  <si>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</si>
  <si>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</si>
  <si>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</si>
  <si>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</si>
  <si>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</si>
  <si>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</si>
  <si>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</si>
  <si>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</si>
  <si>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</si>
  <si>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</si>
  <si>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</si>
  <si>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</si>
  <si>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</si>
  <si>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</si>
  <si>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</si>
  <si>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</si>
  <si>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</si>
  <si>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</si>
  <si>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</si>
  <si>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</si>
  <si>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</si>
  <si>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</si>
  <si>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</si>
  <si>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</si>
  <si>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</si>
  <si>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</si>
  <si>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</si>
  <si>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</si>
  <si>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</si>
  <si>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</si>
  <si>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</si>
  <si>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</si>
  <si>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</si>
  <si>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</si>
  <si>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</si>
  <si>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</si>
  <si>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</si>
  <si>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</si>
  <si>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</si>
  <si>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</si>
  <si>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</si>
  <si>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</si>
  <si>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</si>
  <si>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</si>
  <si>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</si>
  <si>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</si>
  <si>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</si>
  <si>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</si>
  <si>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</si>
  <si>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</si>
  <si>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</si>
  <si>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</si>
  <si>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</si>
  <si>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</si>
  <si>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</si>
  <si>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</si>
  <si>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</si>
  <si>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</si>
  <si>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</si>
  <si>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</si>
  <si>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</si>
  <si>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</si>
  <si>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</si>
  <si>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</si>
  <si>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</si>
  <si>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</si>
  <si>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</si>
  <si>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</si>
  <si>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</si>
  <si>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</si>
  <si>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</si>
  <si>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</si>
  <si>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</si>
  <si>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</si>
  <si>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</si>
  <si>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</si>
  <si>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</si>
  <si>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</si>
  <si>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</si>
  <si>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</si>
  <si>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</si>
  <si>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</si>
  <si>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</si>
  <si>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</si>
  <si>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</si>
  <si>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</si>
  <si>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</si>
  <si>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</si>
  <si>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</si>
  <si>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</si>
  <si>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</si>
  <si>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</si>
  <si>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</si>
  <si>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</si>
  <si>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</si>
  <si>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</si>
  <si>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</si>
  <si>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</si>
  <si>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</si>
  <si>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</si>
  <si>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</si>
  <si>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</si>
  <si>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</si>
  <si>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</si>
  <si>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</si>
  <si>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</si>
  <si>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</si>
  <si>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</si>
  <si>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</si>
  <si>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</si>
  <si>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</si>
  <si>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</si>
  <si>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</si>
  <si>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</si>
  <si>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</si>
  <si>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</si>
  <si>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</si>
  <si>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</si>
  <si>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</si>
  <si>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</si>
  <si>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</si>
  <si>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</si>
  <si>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</si>
  <si>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</si>
  <si>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</si>
  <si>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</si>
  <si>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</si>
  <si>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</si>
  <si>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</si>
  <si>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</si>
  <si>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</si>
  <si>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</si>
  <si>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</si>
  <si>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</si>
  <si>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</si>
  <si>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</si>
  <si>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</si>
  <si>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</si>
  <si>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</si>
  <si>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</si>
  <si>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</si>
  <si>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</si>
  <si>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</si>
  <si>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</si>
  <si>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</si>
  <si>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</si>
  <si>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</si>
  <si>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</si>
  <si>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</si>
  <si>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</si>
  <si>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</si>
  <si>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</si>
  <si>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</si>
  <si>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</si>
  <si>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</si>
  <si>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</si>
  <si>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</si>
  <si>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</si>
  <si>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</si>
  <si>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</si>
  <si>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</si>
  <si>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</si>
  <si>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</si>
  <si>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</si>
  <si>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</si>
  <si>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</si>
  <si>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</si>
  <si>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</si>
  <si>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</si>
  <si>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</si>
  <si>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</si>
  <si>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</si>
  <si>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</si>
  <si>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</si>
  <si>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</si>
  <si>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</si>
  <si>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</si>
  <si>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</si>
  <si>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</si>
  <si>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</si>
  <si>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</si>
  <si>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</si>
  <si>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</si>
  <si>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</si>
  <si>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</si>
  <si>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</si>
  <si>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</si>
  <si>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</si>
  <si>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</si>
  <si>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</si>
  <si>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</si>
  <si>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</si>
  <si>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</si>
  <si>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</si>
  <si>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</si>
  <si>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</si>
  <si>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</si>
  <si>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</si>
  <si>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</si>
  <si>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</si>
  <si>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</si>
  <si>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</si>
  <si>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</si>
  <si>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</si>
  <si>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</si>
  <si>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</si>
  <si>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</si>
  <si>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</si>
  <si>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</si>
  <si>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</si>
  <si>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</si>
  <si>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</si>
  <si>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</si>
  <si>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</si>
  <si>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</si>
  <si>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</si>
  <si>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</si>
  <si>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</si>
  <si>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</si>
  <si>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</si>
  <si>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</si>
  <si>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</si>
  <si>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</si>
  <si>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</si>
  <si>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</si>
  <si>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</si>
  <si>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</si>
  <si>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</si>
  <si>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</si>
  <si>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</si>
  <si>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</si>
  <si>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</si>
  <si>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</si>
  <si>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</si>
  <si>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</si>
  <si>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</si>
  <si>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</si>
  <si>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</si>
  <si>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</si>
  <si>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</si>
  <si>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</si>
  <si>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</si>
  <si>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</si>
  <si>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</si>
  <si>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</si>
  <si>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</si>
  <si>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</si>
  <si>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</si>
  <si>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</si>
  <si>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</si>
  <si>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</si>
  <si>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</si>
  <si>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</si>
  <si>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</si>
  <si>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</si>
  <si>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</si>
  <si>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</si>
  <si>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</si>
  <si>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</si>
  <si>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</si>
  <si>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</si>
  <si>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</si>
  <si>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</si>
  <si>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</si>
  <si>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</si>
  <si>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</si>
  <si>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</si>
  <si>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</si>
  <si>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</si>
  <si>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</si>
  <si>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</si>
  <si>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</si>
  <si>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</si>
  <si>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</si>
  <si>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</si>
  <si>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</si>
  <si>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</si>
  <si>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</si>
  <si>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</si>
  <si>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</si>
  <si>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</si>
  <si>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</si>
  <si>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</si>
  <si>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</si>
  <si>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</si>
  <si>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</si>
  <si>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</si>
  <si>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</si>
  <si>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</si>
  <si>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</si>
  <si>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</si>
  <si>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</si>
  <si>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</si>
  <si>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</si>
  <si>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</si>
  <si>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</si>
  <si>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</si>
  <si>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</si>
  <si>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</si>
  <si>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</si>
  <si>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</si>
  <si>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</si>
  <si>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</si>
  <si>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</si>
  <si>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</si>
  <si>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</si>
  <si>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</si>
  <si>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</si>
  <si>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</si>
  <si>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</si>
  <si>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</si>
  <si>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</si>
  <si>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</si>
  <si>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</si>
  <si>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</si>
  <si>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</si>
  <si>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</si>
  <si>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</si>
  <si>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</si>
  <si>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</si>
  <si>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</si>
  <si>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</si>
  <si>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</si>
  <si>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</si>
  <si>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</si>
  <si>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</si>
  <si>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</si>
  <si>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</si>
  <si>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</si>
  <si>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</si>
  <si>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</si>
  <si>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</si>
  <si>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</si>
  <si>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</si>
  <si>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</si>
  <si>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</si>
  <si>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</si>
  <si>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</si>
  <si>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</si>
  <si>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</si>
  <si>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</si>
  <si>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</si>
  <si>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</si>
  <si>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</si>
  <si>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</si>
  <si>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</si>
  <si>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</si>
  <si>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</si>
  <si>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</si>
  <si>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</si>
  <si>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</si>
  <si>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</si>
  <si>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</si>
  <si>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</si>
  <si>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</si>
  <si>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</si>
  <si>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</si>
  <si>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</si>
  <si>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</si>
  <si>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</si>
  <si>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</si>
  <si>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</si>
  <si>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</si>
  <si>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</si>
  <si>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</si>
  <si>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</si>
  <si>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</si>
  <si>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</si>
  <si>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</si>
  <si>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</si>
  <si>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</si>
  <si>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</si>
  <si>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</si>
  <si>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</si>
  <si>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</si>
  <si>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</si>
  <si>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</si>
  <si>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</si>
  <si>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</si>
  <si>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</si>
  <si>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</si>
  <si>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</si>
  <si>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</si>
  <si>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</si>
  <si>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</si>
  <si>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</si>
  <si>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</si>
  <si>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</si>
  <si>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</si>
  <si>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</si>
  <si>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</si>
  <si>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</si>
  <si>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</si>
  <si>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</si>
  <si>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</si>
  <si>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</si>
  <si>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</si>
  <si>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</si>
  <si>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</si>
  <si>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</si>
  <si>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</si>
  <si>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</si>
  <si>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</si>
  <si>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</si>
  <si>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</si>
  <si>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</si>
  <si>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</si>
  <si>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</si>
  <si>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</si>
  <si>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</si>
  <si>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</si>
  <si>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</si>
  <si>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</si>
  <si>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</si>
  <si>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</si>
  <si>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</si>
  <si>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</si>
  <si>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</si>
  <si>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</si>
  <si>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</si>
  <si>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</si>
  <si>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</si>
  <si>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</si>
  <si>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</si>
  <si>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</si>
  <si>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</si>
  <si>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</si>
  <si>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</si>
  <si>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</si>
  <si>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</si>
  <si>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</si>
  <si>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</si>
  <si>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</si>
  <si>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</si>
  <si>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</si>
  <si>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</si>
  <si>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</si>
  <si>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</si>
  <si>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</si>
  <si>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</si>
  <si>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</si>
  <si>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</si>
  <si>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</si>
  <si>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</si>
  <si>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</si>
  <si>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</si>
  <si>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</si>
  <si>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</si>
  <si>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</si>
  <si>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</si>
  <si>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</si>
  <si>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</si>
  <si>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</si>
  <si>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</si>
  <si>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</si>
  <si>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</si>
  <si>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</si>
  <si>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</si>
  <si>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</si>
  <si>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</si>
  <si>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</si>
  <si>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</si>
  <si>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</si>
  <si>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</si>
  <si>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</si>
  <si>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</si>
  <si>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</si>
  <si>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</si>
  <si>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</si>
  <si>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</si>
  <si>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</si>
  <si>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</si>
  <si>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</si>
  <si>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</si>
  <si>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</si>
  <si>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</si>
  <si>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</si>
  <si>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</si>
  <si>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</si>
  <si>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</si>
  <si>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</si>
  <si>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</si>
  <si>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</si>
  <si>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</si>
  <si>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</si>
  <si>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</si>
  <si>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</si>
  <si>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</si>
  <si>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</si>
  <si>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</si>
  <si>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</si>
  <si>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</si>
  <si>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</si>
  <si>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</si>
  <si>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</si>
  <si>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</si>
  <si>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</si>
  <si>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</si>
  <si>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</si>
  <si>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</si>
  <si>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</si>
  <si>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</si>
  <si>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</si>
  <si>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</si>
  <si>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</si>
  <si>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</si>
  <si>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</si>
  <si>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</si>
  <si>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</si>
  <si>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</si>
  <si>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</si>
  <si>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</si>
  <si>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</si>
  <si>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</si>
  <si>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</si>
  <si>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</si>
  <si>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</si>
  <si>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</si>
  <si>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</si>
  <si>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</si>
  <si>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</si>
  <si>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</si>
  <si>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</si>
  <si>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</si>
  <si>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</si>
  <si>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</si>
  <si>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</si>
  <si>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</si>
  <si>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</si>
  <si>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</si>
  <si>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</si>
  <si>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</si>
  <si>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</si>
  <si>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</si>
  <si>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</si>
  <si>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</si>
  <si>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</si>
  <si>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</si>
  <si>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</si>
  <si>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</si>
  <si>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</si>
  <si>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</si>
  <si>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</si>
  <si>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</si>
  <si>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</si>
  <si>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</si>
  <si>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</si>
  <si>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</si>
  <si>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</si>
  <si>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</si>
  <si>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</si>
  <si>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</si>
  <si>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</si>
  <si>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</si>
  <si>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</si>
  <si>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</si>
  <si>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</si>
  <si>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</si>
  <si>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</si>
  <si>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</si>
  <si>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</si>
  <si>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</si>
  <si>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</si>
  <si>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</si>
  <si>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</si>
  <si>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</si>
  <si>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</si>
  <si>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</si>
  <si>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</si>
  <si>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</si>
  <si>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</si>
  <si>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</si>
  <si>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</si>
  <si>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</si>
  <si>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</si>
  <si>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</si>
  <si>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</si>
  <si>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</si>
  <si>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</si>
  <si>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</si>
  <si>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</si>
  <si>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</si>
  <si>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</si>
  <si>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</si>
  <si>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</si>
  <si>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</si>
  <si>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</si>
  <si>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</si>
  <si>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</si>
  <si>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</si>
  <si>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</si>
  <si>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</si>
  <si>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</si>
  <si>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</si>
  <si>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</si>
  <si>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</si>
  <si>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</si>
  <si>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</si>
  <si>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</si>
  <si>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</si>
  <si>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</si>
  <si>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</si>
  <si>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</si>
  <si>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</si>
  <si>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</si>
  <si>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</si>
  <si>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</si>
  <si>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</si>
  <si>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</si>
  <si>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</si>
  <si>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</si>
  <si>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</si>
  <si>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</si>
  <si>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</si>
  <si>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</si>
  <si>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</si>
  <si>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</si>
  <si>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</si>
  <si>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</si>
  <si>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</si>
  <si>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</si>
  <si>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</si>
  <si>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</si>
  <si>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</si>
  <si>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</si>
  <si>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</si>
  <si>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</si>
  <si>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</si>
  <si>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</si>
  <si>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</si>
  <si>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</si>
  <si>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</si>
  <si>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</si>
  <si>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</si>
  <si>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</si>
  <si>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</si>
  <si>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</si>
  <si>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</si>
  <si>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</si>
  <si>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</si>
  <si>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</si>
  <si>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</si>
  <si>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</si>
  <si>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</si>
  <si>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</si>
  <si>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</si>
  <si>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</si>
  <si>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</si>
  <si>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</si>
  <si>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</si>
  <si>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</si>
  <si>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</si>
  <si>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</si>
  <si>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</si>
  <si>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</si>
  <si>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</si>
  <si>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</si>
  <si>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</si>
  <si>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</si>
  <si>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</si>
  <si>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</si>
  <si>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</si>
  <si>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</si>
  <si>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</si>
  <si>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</si>
  <si>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</si>
  <si>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</si>
  <si>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</si>
  <si>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</si>
  <si>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</si>
  <si>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</si>
  <si>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</si>
  <si>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</si>
  <si>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</si>
  <si>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</si>
  <si>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</si>
  <si>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</si>
  <si>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</si>
  <si>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</si>
  <si>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</si>
  <si>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</si>
  <si>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</si>
  <si>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</si>
  <si>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</si>
  <si>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</si>
  <si>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</si>
  <si>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</si>
  <si>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</si>
  <si>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</si>
  <si>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</si>
  <si>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</si>
  <si>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</si>
  <si>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</si>
  <si>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</si>
  <si>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</si>
  <si>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</si>
  <si>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</si>
  <si>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</si>
  <si>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</si>
  <si>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</si>
  <si>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</si>
  <si>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</si>
  <si>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</si>
  <si>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</si>
  <si>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</si>
  <si>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</si>
  <si>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</si>
  <si>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</si>
  <si>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</si>
  <si>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</si>
  <si>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</si>
  <si>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</si>
  <si>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</si>
  <si>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</si>
  <si>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</si>
  <si>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</si>
  <si>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</si>
  <si>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</si>
  <si>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</si>
  <si>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</si>
  <si>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</si>
  <si>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</si>
  <si>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</si>
  <si>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</si>
  <si>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</si>
  <si>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</si>
  <si>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</si>
  <si>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</si>
  <si>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</si>
  <si>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</si>
  <si>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</si>
  <si>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</si>
  <si>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</si>
  <si>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</si>
  <si>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</si>
  <si>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</si>
  <si>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</si>
  <si>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</si>
  <si>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</si>
  <si>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</si>
  <si>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</si>
  <si>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</si>
  <si>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</si>
  <si>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</si>
  <si>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</si>
  <si>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</si>
  <si>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</si>
  <si>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</si>
  <si>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</si>
  <si>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</si>
  <si>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</si>
  <si>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</si>
  <si>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</si>
  <si>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</si>
  <si>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</si>
  <si>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</si>
  <si>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</si>
  <si>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</si>
  <si>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</si>
  <si>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</si>
  <si>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</si>
  <si>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</si>
  <si>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</si>
  <si>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</si>
  <si>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</si>
  <si>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</si>
  <si>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</si>
  <si>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</si>
  <si>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</si>
  <si>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</si>
  <si>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</si>
  <si>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</si>
  <si>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</si>
  <si>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</si>
  <si>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</si>
  <si>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</si>
  <si>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</si>
  <si>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</si>
  <si>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</si>
  <si>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</si>
  <si>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</si>
  <si>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</si>
  <si>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</si>
  <si>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</si>
  <si>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</si>
  <si>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</si>
  <si>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</si>
  <si>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</si>
  <si>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</si>
  <si>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</si>
  <si>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</si>
  <si>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</si>
  <si>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</si>
  <si>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</si>
  <si>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</si>
  <si>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</si>
  <si>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</si>
  <si>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</si>
  <si>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</si>
  <si>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</si>
  <si>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</si>
  <si>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</si>
  <si>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</si>
  <si>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</si>
  <si>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</si>
  <si>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</si>
  <si>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</si>
  <si>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</si>
  <si>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</si>
  <si>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</si>
  <si>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</si>
  <si>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</si>
  <si>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</si>
  <si>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</si>
  <si>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</si>
  <si>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</si>
  <si>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</si>
  <si>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</si>
  <si>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</si>
  <si>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</si>
  <si>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</si>
  <si>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</si>
  <si>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</si>
  <si>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</si>
  <si>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</si>
  <si>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</si>
  <si>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</si>
  <si>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</si>
  <si>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</si>
  <si>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</si>
  <si>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</si>
  <si>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</si>
  <si>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</si>
  <si>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</si>
  <si>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</si>
  <si>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</si>
  <si>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</si>
  <si>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</si>
  <si>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</si>
  <si>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</si>
  <si>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</si>
  <si>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</si>
  <si>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</si>
  <si>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</si>
  <si>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</si>
  <si>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</si>
  <si>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</si>
  <si>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</si>
  <si>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</si>
  <si>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</si>
  <si>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</si>
  <si>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</si>
  <si>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</si>
  <si>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</si>
  <si>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</si>
  <si>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</si>
  <si>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</si>
  <si>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</si>
  <si>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</si>
  <si>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</si>
  <si>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</si>
  <si>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</si>
  <si>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</si>
  <si>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</si>
  <si>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</si>
  <si>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</si>
  <si>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</si>
  <si>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</si>
  <si>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</si>
  <si>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</si>
  <si>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</si>
  <si>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</si>
  <si>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</si>
  <si>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</si>
  <si>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</si>
  <si>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</si>
  <si>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</si>
  <si>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</si>
  <si>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</si>
  <si>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</si>
  <si>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</si>
  <si>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</si>
  <si>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</si>
  <si>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</si>
  <si>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</si>
  <si>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</si>
  <si>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</si>
  <si>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</si>
  <si>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</si>
  <si>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</si>
  <si>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</si>
  <si>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</si>
  <si>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</si>
  <si>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</si>
  <si>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</si>
  <si>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</si>
  <si>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</si>
  <si>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</si>
  <si>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</si>
  <si>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</si>
  <si>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</si>
  <si>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</si>
  <si>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</si>
  <si>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</si>
  <si>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</si>
  <si>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</si>
  <si>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</si>
  <si>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</si>
  <si>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</si>
  <si>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</si>
  <si>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</si>
  <si>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</si>
  <si>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</si>
  <si>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</si>
  <si>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</si>
  <si>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</si>
  <si>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</si>
  <si>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</si>
  <si>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</si>
  <si>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</si>
  <si>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</si>
  <si>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</si>
  <si>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</si>
  <si>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</si>
  <si>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</si>
  <si>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</si>
  <si>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</si>
  <si>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</si>
  <si>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</si>
  <si>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</si>
  <si>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</si>
  <si>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</si>
  <si>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</si>
  <si>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</si>
  <si>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</si>
  <si>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</si>
  <si>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</si>
  <si>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</si>
  <si>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</si>
  <si>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</si>
  <si>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</si>
  <si>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</si>
  <si>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</si>
  <si>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</si>
  <si>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</si>
  <si>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</si>
  <si>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</si>
  <si>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</si>
  <si>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</si>
  <si>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</si>
  <si>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</si>
  <si>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</si>
  <si>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</si>
  <si>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</si>
  <si>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</si>
  <si>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</si>
  <si>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</si>
  <si>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</si>
  <si>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</si>
  <si>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</si>
  <si>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</si>
  <si>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</si>
  <si>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</si>
  <si>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</si>
  <si>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</si>
  <si>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</si>
  <si>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</si>
  <si>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</si>
  <si>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</si>
  <si>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</si>
  <si>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</si>
  <si>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</si>
  <si>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</si>
  <si>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</si>
  <si>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</si>
  <si>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</si>
  <si>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</si>
  <si>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</si>
  <si>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</si>
  <si>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</si>
  <si>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</si>
  <si>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</si>
  <si>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</si>
  <si>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</si>
  <si>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</si>
  <si>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</si>
  <si>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</si>
  <si>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</si>
  <si>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</si>
  <si>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</si>
  <si>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</si>
  <si>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</si>
  <si>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</si>
  <si>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</si>
  <si>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</si>
  <si>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</si>
  <si>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</si>
  <si>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</si>
  <si>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</si>
  <si>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</si>
  <si>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</si>
  <si>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</si>
  <si>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</si>
  <si>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</si>
  <si>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</si>
  <si>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</si>
  <si>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</si>
  <si>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</si>
  <si>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</si>
  <si>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</si>
  <si>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</si>
  <si>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</si>
  <si>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</si>
  <si>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</si>
  <si>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</si>
  <si>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</si>
  <si>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</si>
  <si>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</si>
  <si>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</si>
  <si>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</si>
  <si>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</si>
  <si>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</si>
  <si>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</si>
  <si>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</si>
  <si>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</si>
  <si>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</si>
  <si>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</si>
  <si>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</si>
  <si>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</si>
  <si>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</si>
  <si>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</si>
  <si>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</si>
  <si>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</si>
  <si>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</si>
  <si>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</si>
  <si>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</si>
  <si>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</si>
  <si>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</si>
  <si>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</si>
  <si>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</si>
  <si>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</si>
  <si>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</si>
  <si>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</si>
  <si>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</si>
  <si>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</si>
  <si>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</si>
  <si>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</si>
  <si>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</si>
  <si>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</si>
  <si>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</si>
  <si>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</si>
  <si>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</si>
  <si>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</si>
  <si>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</si>
  <si>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</si>
  <si>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</si>
  <si>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</si>
  <si>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</si>
  <si>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</si>
  <si>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</si>
  <si>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</si>
  <si>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</si>
  <si>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</si>
  <si>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</si>
  <si>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</si>
  <si>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</si>
  <si>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</si>
  <si>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</si>
  <si>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</si>
  <si>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</si>
  <si>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</si>
  <si>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</si>
  <si>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</si>
  <si>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</si>
  <si>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</si>
  <si>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</si>
  <si>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</si>
  <si>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</si>
  <si>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</si>
  <si>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</si>
  <si>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</si>
  <si>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</si>
  <si>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</si>
  <si>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</si>
  <si>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</si>
  <si>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</si>
  <si>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</si>
  <si>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</si>
  <si>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</si>
  <si>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</si>
  <si>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</si>
  <si>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</si>
  <si>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</si>
  <si>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</si>
  <si>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</si>
  <si>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</si>
  <si>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</si>
  <si>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</si>
  <si>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</si>
  <si>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</si>
  <si>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</si>
  <si>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</si>
  <si>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</si>
  <si>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</si>
  <si>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</si>
  <si>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</si>
  <si>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</si>
  <si>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</si>
  <si>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</si>
  <si>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</si>
  <si>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</si>
  <si>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</si>
  <si>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</si>
  <si>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</si>
  <si>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</si>
  <si>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</si>
  <si>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</si>
  <si>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</si>
  <si>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</si>
  <si>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</si>
  <si>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</si>
  <si>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</si>
  <si>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</si>
  <si>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</si>
  <si>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</si>
  <si>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</si>
  <si>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</si>
  <si>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</si>
  <si>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</si>
  <si>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</si>
  <si>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</si>
  <si>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</si>
  <si>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</si>
  <si>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</si>
  <si>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</si>
  <si>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</si>
  <si>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</si>
  <si>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</si>
  <si>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</si>
  <si>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</si>
  <si>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</si>
  <si>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</si>
  <si>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</si>
  <si>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</si>
  <si>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</si>
  <si>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</si>
  <si>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</si>
  <si>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</si>
  <si>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</si>
  <si>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</si>
  <si>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</si>
  <si>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</si>
  <si>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</si>
  <si>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</si>
  <si>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</si>
  <si>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</si>
  <si>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</si>
  <si>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</si>
  <si>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</si>
  <si>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</si>
  <si>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</si>
  <si>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</si>
  <si>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</si>
  <si>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</si>
  <si>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</si>
  <si>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</si>
  <si>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</si>
  <si>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</si>
  <si>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</si>
  <si>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</si>
  <si>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</si>
  <si>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</si>
  <si>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</si>
  <si>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</si>
  <si>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</si>
  <si>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</si>
  <si>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</si>
  <si>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</si>
  <si>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</si>
  <si>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</si>
  <si>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</si>
  <si>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</si>
  <si>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</si>
  <si>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</si>
  <si>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</si>
  <si>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</si>
  <si>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</si>
  <si>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</si>
  <si>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</si>
  <si>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</si>
  <si>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</si>
  <si>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</si>
  <si>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</si>
  <si>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</si>
  <si>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</si>
  <si>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</si>
  <si>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</si>
  <si>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</si>
  <si>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</si>
  <si>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</si>
  <si>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</si>
  <si>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</si>
  <si>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</si>
  <si>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</si>
  <si>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</si>
  <si>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</si>
  <si>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</si>
  <si>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</si>
  <si>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</si>
  <si>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</si>
  <si>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</si>
  <si>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</si>
  <si>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</si>
  <si>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</si>
  <si>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</si>
  <si>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</si>
  <si>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</si>
  <si>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</si>
  <si>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</si>
  <si>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</si>
  <si>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</si>
  <si>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</si>
  <si>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</si>
  <si>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</si>
  <si>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</si>
  <si>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</si>
  <si>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</si>
  <si>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</si>
  <si>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</si>
  <si>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</si>
  <si>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</si>
  <si>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</si>
  <si>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</si>
  <si>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</si>
  <si>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</si>
  <si>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</si>
  <si>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</si>
  <si>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</si>
  <si>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</si>
  <si>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</si>
  <si>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</si>
  <si>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</si>
  <si>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</si>
  <si>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</si>
  <si>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</si>
  <si>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</si>
  <si>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</si>
  <si>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</si>
  <si>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</si>
  <si>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</si>
  <si>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</si>
  <si>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</si>
  <si>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</si>
  <si>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</si>
  <si>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</si>
  <si>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</si>
  <si>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</si>
  <si>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</si>
  <si>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</si>
  <si>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</si>
  <si>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</si>
  <si>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</si>
  <si>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</si>
  <si>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</si>
  <si>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</si>
  <si>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</si>
  <si>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</si>
  <si>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</si>
  <si>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</si>
  <si>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</si>
  <si>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</si>
  <si>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</si>
  <si>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</si>
  <si>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</si>
  <si>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</si>
  <si>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</si>
  <si>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</si>
  <si>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</si>
  <si>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</si>
  <si>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</si>
  <si>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</si>
  <si>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</si>
  <si>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</si>
  <si>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</si>
  <si>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</si>
  <si>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</si>
  <si>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</si>
  <si>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</si>
  <si>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</si>
  <si>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</si>
  <si>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</si>
  <si>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</si>
  <si>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</si>
  <si>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</si>
  <si>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</si>
  <si>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</si>
  <si>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</si>
  <si>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</si>
  <si>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</si>
  <si>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</si>
  <si>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</si>
  <si>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</si>
  <si>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</si>
  <si>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</si>
  <si>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</si>
  <si>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</si>
  <si>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</si>
  <si>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</si>
  <si>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</si>
  <si>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</si>
  <si>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</si>
  <si>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</si>
  <si>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</si>
  <si>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</si>
  <si>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</si>
  <si>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</si>
  <si>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</si>
  <si>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</si>
  <si>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</si>
  <si>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</si>
  <si>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</si>
  <si>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</si>
  <si>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</si>
  <si>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</si>
  <si>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</si>
  <si>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</si>
  <si>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</si>
  <si>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</si>
  <si>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</si>
  <si>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</si>
  <si>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</si>
  <si>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</si>
  <si>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</si>
  <si>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</si>
  <si>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</si>
  <si>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</si>
  <si>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</si>
  <si>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</si>
  <si>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</si>
  <si>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</si>
  <si>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</si>
  <si>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</si>
  <si>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</si>
  <si>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</si>
  <si>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</si>
  <si>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</si>
  <si>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</si>
  <si>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</si>
  <si>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</si>
  <si>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</si>
  <si>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</si>
  <si>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</si>
  <si>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</si>
  <si>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</si>
  <si>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</si>
  <si>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</si>
  <si>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</si>
  <si>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</si>
  <si>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</si>
  <si>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</si>
  <si>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</si>
  <si>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</si>
  <si>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</si>
  <si>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</si>
  <si>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</si>
  <si>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</si>
  <si>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</si>
  <si>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</si>
  <si>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</si>
  <si>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</si>
  <si>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</si>
  <si>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</si>
  <si>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</si>
  <si>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</si>
  <si>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</si>
  <si>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</si>
  <si>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</si>
  <si>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</si>
  <si>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</si>
  <si>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</si>
  <si>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</si>
  <si>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</si>
  <si>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</si>
  <si>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</si>
  <si>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</si>
  <si>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</si>
  <si>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</si>
  <si>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</si>
  <si>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</si>
  <si>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</si>
  <si>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</si>
  <si>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</si>
  <si>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</si>
  <si>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</si>
  <si>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</si>
  <si>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</si>
  <si>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</si>
  <si>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</si>
  <si>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</si>
  <si>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</si>
  <si>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</si>
  <si>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</si>
  <si>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</si>
  <si>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</si>
  <si>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</si>
  <si>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</si>
  <si>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</si>
  <si>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</si>
  <si>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</si>
  <si>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</si>
  <si>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</si>
  <si>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</si>
  <si>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</si>
  <si>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</si>
  <si>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</si>
  <si>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</si>
  <si>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</si>
  <si>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</si>
  <si>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</si>
  <si>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</si>
  <si>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</si>
  <si>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</si>
  <si>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</si>
  <si>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</si>
  <si>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</si>
  <si>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</si>
  <si>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</si>
  <si>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</si>
  <si>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</si>
  <si>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</si>
  <si>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</si>
  <si>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</si>
  <si>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</si>
  <si>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</si>
  <si>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</si>
  <si>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</si>
  <si>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</si>
  <si>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</si>
  <si>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</si>
  <si>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</si>
  <si>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</si>
  <si>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</si>
  <si>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</si>
  <si>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</si>
  <si>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</si>
  <si>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</si>
  <si>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</si>
  <si>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</si>
  <si>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</si>
  <si>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</si>
  <si>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</si>
  <si>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</si>
  <si>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</si>
  <si>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</si>
  <si>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</si>
  <si>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</si>
  <si>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</si>
  <si>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</si>
  <si>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</si>
  <si>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</si>
  <si>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</si>
  <si>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</si>
  <si>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</si>
  <si>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</si>
  <si>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</si>
  <si>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</si>
  <si>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</si>
  <si>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</si>
  <si>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</si>
  <si>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</si>
  <si>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</si>
  <si>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</si>
  <si>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</si>
  <si>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</si>
  <si>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</si>
  <si>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</si>
  <si>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</si>
  <si>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</si>
  <si>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</si>
  <si>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</si>
  <si>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</si>
  <si>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</si>
  <si>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</si>
  <si>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</si>
  <si>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</si>
  <si>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</si>
  <si>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</si>
  <si>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</si>
  <si>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</si>
  <si>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</si>
  <si>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</si>
  <si>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</si>
  <si>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</si>
  <si>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</si>
  <si>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</si>
  <si>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</si>
  <si>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</si>
  <si>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</si>
  <si>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</si>
  <si>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</si>
  <si>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</si>
  <si>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</si>
  <si>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</si>
  <si>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</si>
  <si>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</si>
  <si>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</si>
  <si>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</si>
  <si>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</si>
  <si>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</si>
  <si>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</si>
  <si>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</si>
  <si>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</si>
  <si>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</si>
  <si>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</si>
  <si>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</si>
  <si>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</si>
  <si>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</si>
  <si>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</si>
  <si>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</si>
  <si>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</si>
  <si>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</si>
  <si>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</si>
  <si>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</si>
  <si>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</si>
  <si>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</si>
  <si>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</si>
  <si>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</si>
  <si>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</si>
  <si>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</si>
  <si>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</si>
  <si>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</si>
  <si>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</si>
  <si>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</si>
  <si>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</si>
  <si>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</si>
  <si>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</si>
  <si>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</si>
  <si>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</si>
  <si>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</si>
  <si>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</si>
  <si>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</si>
  <si>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</si>
  <si>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</si>
  <si>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</si>
  <si>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</si>
  <si>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</si>
  <si>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</si>
  <si>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</si>
  <si>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</si>
  <si>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</si>
  <si>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</si>
  <si>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</si>
  <si>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</si>
  <si>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</si>
  <si>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</si>
  <si>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</si>
  <si>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</si>
  <si>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</si>
  <si>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</si>
  <si>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</si>
  <si>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</si>
  <si>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</si>
  <si>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</si>
  <si>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</si>
  <si>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</si>
  <si>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</si>
  <si>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</si>
  <si>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</si>
  <si>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</si>
  <si>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</si>
  <si>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</si>
  <si>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</si>
  <si>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</si>
  <si>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</si>
  <si>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</si>
  <si>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</si>
  <si>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</si>
  <si>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</si>
  <si>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</si>
  <si>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</si>
  <si>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</si>
  <si>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</si>
  <si>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</si>
  <si>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</si>
  <si>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</si>
  <si>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</si>
  <si>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</si>
  <si>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</si>
  <si>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</si>
  <si>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</si>
  <si>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</si>
  <si>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</si>
  <si>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</si>
  <si>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</si>
  <si>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</si>
  <si>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</si>
  <si>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</si>
  <si>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</si>
  <si>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</si>
  <si>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</si>
  <si>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</si>
  <si>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</si>
  <si>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</si>
  <si>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</si>
  <si>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</si>
  <si>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</si>
  <si>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</si>
  <si>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</si>
  <si>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</si>
  <si>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</si>
  <si>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</si>
  <si>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</si>
  <si>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</si>
  <si>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</si>
  <si>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</si>
  <si>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</si>
  <si>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</si>
  <si>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</si>
  <si>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</si>
  <si>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</si>
  <si>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</si>
  <si>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</si>
  <si>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</si>
  <si>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</si>
  <si>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</si>
  <si>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</si>
  <si>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</si>
  <si>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</si>
  <si>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</si>
  <si>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</si>
  <si>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</si>
  <si>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</si>
  <si>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</si>
  <si>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</si>
  <si>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</si>
  <si>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</si>
  <si>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</si>
  <si>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</si>
  <si>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</si>
  <si>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</si>
  <si>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</si>
  <si>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</si>
  <si>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</si>
  <si>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</si>
  <si>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</si>
  <si>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</si>
  <si>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</si>
  <si>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</si>
  <si>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</si>
  <si>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</si>
  <si>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</si>
  <si>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</si>
  <si>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</si>
  <si>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</si>
  <si>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</si>
  <si>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</si>
  <si>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</si>
  <si>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</si>
  <si>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</si>
  <si>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</si>
  <si>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</si>
  <si>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</si>
  <si>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</si>
  <si>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</si>
  <si>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</si>
  <si>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</si>
  <si>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</si>
  <si>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</si>
  <si>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</si>
  <si>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</si>
  <si>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</si>
  <si>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</si>
  <si>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</si>
  <si>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</si>
  <si>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</si>
  <si>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</si>
  <si>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</si>
  <si>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</si>
  <si>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</si>
  <si>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</si>
  <si>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</si>
  <si>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</si>
  <si>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</si>
  <si>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</si>
  <si>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</si>
  <si>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</si>
  <si>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</si>
  <si>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</si>
  <si>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</si>
  <si>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</si>
  <si>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</si>
  <si>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</si>
  <si>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</si>
  <si>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</si>
  <si>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</si>
  <si>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</si>
  <si>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</si>
  <si>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</si>
  <si>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</si>
  <si>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</si>
  <si>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</si>
  <si>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</si>
  <si>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</si>
  <si>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</si>
  <si>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</si>
  <si>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</si>
  <si>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</si>
  <si>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</si>
  <si>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</si>
  <si>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</si>
  <si>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</si>
  <si>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</si>
  <si>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</si>
  <si>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</si>
  <si>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</si>
  <si>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</si>
  <si>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</si>
  <si>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</si>
  <si>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</si>
  <si>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</si>
  <si>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</si>
  <si>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</si>
  <si>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</si>
  <si>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</si>
  <si>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</si>
  <si>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</si>
  <si>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</si>
  <si>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</si>
  <si>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</si>
  <si>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</si>
  <si>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</si>
  <si>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</si>
  <si>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</si>
  <si>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</si>
  <si>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</si>
  <si>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</si>
  <si>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</si>
  <si>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</si>
  <si>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</si>
  <si>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</si>
  <si>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</si>
  <si>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</si>
  <si>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</si>
  <si>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</si>
  <si>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</si>
  <si>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</si>
  <si>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</si>
  <si>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</si>
  <si>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</si>
  <si>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</si>
  <si>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</si>
  <si>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</si>
  <si>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</si>
  <si>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</si>
  <si>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</si>
  <si>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</si>
  <si>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</si>
  <si>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</si>
  <si>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</si>
  <si>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</si>
  <si>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</si>
  <si>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</si>
  <si>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</si>
  <si>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</si>
  <si>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</si>
  <si>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</si>
  <si>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</si>
  <si>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</si>
  <si>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</si>
  <si>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</si>
  <si>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</si>
  <si>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</si>
  <si>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</si>
  <si>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</si>
  <si>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</si>
  <si>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</si>
  <si>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</si>
  <si>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</si>
  <si>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</si>
  <si>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</si>
  <si>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</si>
  <si>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</si>
  <si>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</si>
  <si>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</si>
  <si>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</si>
  <si>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</si>
  <si>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</si>
  <si>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</si>
  <si>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</si>
  <si>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</si>
  <si>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</si>
  <si>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</si>
  <si>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</si>
  <si>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</si>
  <si>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</si>
  <si>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</si>
  <si>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</si>
  <si>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</si>
  <si>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</si>
  <si>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</si>
  <si>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</si>
  <si>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</si>
  <si>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</si>
  <si>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</si>
  <si>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</si>
  <si>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</si>
  <si>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</si>
  <si>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</si>
  <si>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</si>
  <si>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</si>
  <si>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</si>
  <si>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</si>
  <si>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</si>
  <si>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</si>
  <si>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</si>
  <si>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</si>
  <si>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</si>
  <si>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</si>
  <si>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</si>
  <si>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</si>
  <si>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</si>
  <si>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</si>
  <si>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</si>
  <si>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</si>
  <si>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</si>
  <si>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</si>
  <si>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</si>
  <si>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</si>
  <si>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</si>
  <si>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</si>
  <si>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</si>
  <si>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</si>
  <si>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</si>
  <si>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</si>
  <si>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</si>
  <si>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</si>
  <si>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</si>
  <si>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</si>
  <si>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</si>
  <si>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</si>
  <si>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</si>
  <si>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</si>
  <si>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</si>
  <si>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</si>
  <si>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</si>
  <si>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</si>
  <si>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</si>
  <si>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</si>
  <si>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</si>
  <si>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</si>
  <si>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</si>
  <si>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</si>
  <si>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</si>
  <si>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</si>
  <si>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</si>
  <si>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</si>
  <si>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</si>
  <si>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</si>
  <si>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</si>
  <si>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</si>
  <si>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</si>
  <si>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</si>
  <si>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</si>
  <si>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</si>
  <si>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</si>
  <si>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</si>
  <si>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</si>
  <si>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</si>
  <si>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</si>
  <si>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</si>
  <si>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</si>
  <si>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</si>
  <si>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</si>
  <si>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</si>
  <si>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</si>
  <si>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</si>
  <si>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</si>
  <si>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</si>
  <si>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</si>
  <si>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</si>
  <si>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</si>
  <si>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</si>
  <si>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</si>
  <si>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</si>
  <si>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</si>
  <si>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</si>
  <si>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</si>
  <si>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</si>
  <si>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</si>
  <si>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</si>
  <si>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</si>
  <si>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</si>
  <si>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</si>
  <si>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</si>
  <si>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</si>
  <si>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</si>
  <si>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</si>
  <si>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</si>
  <si>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</si>
  <si>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</si>
  <si>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</si>
  <si>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</si>
  <si>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</si>
  <si>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</si>
  <si>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</si>
  <si>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</si>
  <si>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</si>
  <si>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</si>
  <si>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</si>
  <si>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</si>
  <si>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</si>
  <si>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</si>
  <si>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</si>
  <si>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</si>
  <si>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</si>
  <si>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</si>
  <si>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</si>
  <si>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</si>
  <si>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</si>
  <si>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</si>
  <si>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</si>
  <si>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</si>
  <si>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</si>
  <si>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</si>
  <si>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</si>
  <si>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</si>
  <si>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</si>
  <si>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</si>
  <si>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</si>
  <si>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</si>
  <si>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</si>
  <si>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</si>
  <si>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</si>
  <si>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</si>
  <si>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</si>
  <si>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</si>
  <si>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</si>
  <si>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</si>
  <si>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</si>
  <si>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</si>
  <si>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</si>
  <si>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</si>
  <si>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</si>
  <si>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</si>
  <si>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</si>
  <si>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</si>
  <si>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</si>
  <si>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</si>
  <si>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</si>
  <si>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</si>
  <si>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</si>
  <si>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</si>
  <si>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</si>
  <si>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</si>
  <si>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</si>
  <si>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</si>
  <si>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</si>
  <si>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</si>
  <si>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</si>
  <si>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</si>
  <si>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</si>
  <si>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</si>
  <si>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</si>
  <si>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</si>
  <si>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</si>
  <si>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</si>
  <si>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</si>
  <si>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</si>
  <si>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</si>
  <si>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</si>
  <si>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</si>
  <si>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</si>
  <si>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</si>
  <si>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</si>
  <si>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</si>
  <si>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</si>
  <si>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</si>
  <si>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</si>
  <si>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</si>
  <si>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</si>
  <si>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</si>
  <si>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</si>
  <si>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</si>
  <si>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</si>
  <si>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</si>
  <si>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</si>
  <si>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</si>
  <si>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</si>
  <si>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</si>
  <si>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</si>
  <si>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</si>
  <si>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</si>
  <si>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</si>
  <si>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</si>
  <si>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</si>
  <si>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</si>
  <si>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</si>
  <si>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</si>
  <si>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</si>
  <si>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</si>
  <si>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</si>
  <si>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</si>
  <si>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</si>
  <si>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</si>
  <si>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</si>
  <si>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</si>
  <si>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</si>
  <si>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</si>
  <si>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</si>
  <si>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</si>
  <si>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</si>
  <si>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</si>
  <si>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</si>
  <si>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</si>
  <si>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</si>
  <si>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</si>
  <si>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</si>
  <si>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</si>
  <si>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</si>
  <si>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</si>
  <si>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</si>
  <si>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</si>
  <si>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</si>
  <si>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</si>
  <si>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</si>
  <si>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</si>
  <si>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</si>
  <si>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</si>
  <si>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</si>
  <si>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</si>
  <si>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</si>
  <si>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</si>
  <si>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</si>
  <si>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</si>
  <si>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</si>
  <si>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</si>
  <si>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</si>
  <si>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</si>
  <si>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</si>
  <si>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</si>
  <si>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</si>
  <si>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</si>
  <si>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</si>
  <si>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</si>
  <si>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</si>
  <si>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</si>
  <si>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</si>
  <si>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</si>
  <si>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</si>
  <si>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</si>
  <si>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</si>
  <si>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</si>
  <si>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</si>
  <si>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</si>
  <si>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</si>
  <si>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</si>
  <si>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</si>
  <si>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</si>
  <si>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</si>
  <si>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</si>
  <si>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</si>
  <si>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</si>
  <si>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</si>
  <si>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</si>
  <si>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</si>
  <si>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</si>
  <si>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</si>
  <si>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</si>
  <si>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</si>
  <si>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</si>
  <si>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</si>
  <si>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</si>
  <si>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</si>
  <si>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</si>
  <si>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</si>
  <si>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</si>
  <si>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</si>
  <si>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</si>
  <si>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</si>
  <si>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</si>
  <si>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</si>
  <si>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</si>
  <si>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</si>
  <si>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</si>
  <si>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</si>
  <si>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</si>
  <si>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</si>
  <si>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</si>
  <si>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</si>
  <si>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</si>
  <si>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</si>
  <si>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</si>
  <si>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</si>
  <si>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</si>
  <si>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</si>
  <si>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</si>
  <si>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</si>
  <si>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</si>
  <si>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</si>
  <si>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</si>
  <si>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</si>
  <si>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</si>
  <si>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</si>
  <si>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</si>
  <si>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</si>
  <si>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</si>
  <si>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</si>
  <si>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</si>
  <si>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</si>
  <si>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</si>
  <si>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</si>
  <si>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</si>
  <si>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</si>
  <si>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</si>
  <si>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</si>
  <si>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</si>
  <si>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</si>
  <si>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</si>
  <si>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</si>
  <si>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</si>
  <si>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</si>
  <si>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</si>
  <si>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</si>
  <si>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</si>
  <si>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</si>
  <si>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</si>
  <si>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</si>
  <si>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</si>
  <si>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</si>
  <si>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</si>
  <si>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</si>
  <si>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</si>
  <si>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</si>
  <si>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</si>
  <si>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</si>
  <si>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</si>
  <si>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</si>
  <si>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</si>
  <si>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</si>
  <si>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</si>
  <si>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</si>
  <si>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</si>
  <si>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</si>
  <si>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</si>
  <si>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</si>
  <si>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</si>
  <si>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</si>
  <si>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</si>
  <si>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</si>
  <si>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</si>
  <si>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</si>
  <si>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</si>
  <si>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</si>
  <si>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</si>
  <si>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</si>
  <si>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</si>
  <si>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</si>
  <si>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</si>
  <si>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</si>
  <si>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</si>
  <si>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</si>
  <si>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</si>
  <si>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</si>
  <si>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</si>
  <si>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</si>
  <si>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</si>
  <si>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</si>
  <si>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</si>
  <si>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</si>
  <si>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</si>
  <si>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</si>
  <si>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</si>
  <si>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</si>
  <si>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</si>
  <si>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</si>
  <si>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</si>
  <si>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</si>
  <si>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</si>
  <si>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</si>
  <si>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</si>
  <si>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</si>
  <si>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</si>
  <si>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</si>
  <si>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</si>
  <si>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</si>
  <si>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</si>
  <si>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</si>
  <si>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</si>
  <si>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</si>
  <si>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</si>
  <si>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</si>
  <si>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</si>
  <si>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</si>
  <si>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</si>
  <si>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</si>
  <si>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</si>
  <si>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</si>
  <si>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</si>
  <si>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</si>
  <si>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</si>
  <si>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</si>
  <si>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</si>
  <si>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</si>
  <si>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</si>
  <si>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</si>
  <si>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</si>
  <si>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</si>
  <si>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</si>
  <si>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</si>
  <si>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</si>
  <si>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</si>
  <si>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</si>
  <si>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</si>
  <si>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</si>
  <si>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</si>
  <si>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</si>
  <si>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</si>
  <si>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</si>
  <si>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</si>
  <si>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</si>
  <si>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</si>
  <si>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</si>
  <si>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</si>
  <si>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</si>
  <si>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</si>
  <si>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</si>
  <si>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</si>
  <si>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</si>
  <si>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</si>
  <si>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</si>
  <si>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</si>
  <si>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</si>
  <si>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</si>
  <si>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</si>
  <si>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</si>
  <si>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</si>
  <si>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</si>
  <si>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</si>
  <si>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</si>
  <si>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</si>
  <si>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</si>
  <si>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</si>
  <si>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</si>
  <si>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</si>
  <si>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</si>
  <si>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</si>
  <si>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</si>
  <si>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</si>
  <si>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</si>
  <si>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</si>
  <si>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</si>
  <si>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</si>
  <si>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</si>
  <si>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</si>
  <si>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</si>
  <si>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</si>
  <si>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</si>
  <si>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</si>
  <si>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</si>
  <si>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</si>
  <si>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</si>
  <si>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</si>
  <si>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</si>
  <si>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</si>
  <si>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</si>
  <si>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</si>
  <si>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</si>
  <si>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</si>
  <si>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</si>
  <si>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</si>
  <si>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</si>
  <si>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</si>
  <si>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</si>
  <si>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</si>
  <si>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</si>
  <si>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</si>
  <si>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</si>
  <si>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</si>
  <si>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</si>
  <si>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</si>
  <si>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</si>
  <si>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</si>
  <si>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</si>
  <si>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</si>
  <si>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</si>
  <si>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</si>
  <si>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</si>
  <si>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</si>
  <si>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</si>
  <si>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</si>
  <si>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</si>
  <si>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</si>
  <si>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</si>
  <si>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</si>
  <si>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</si>
  <si>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</si>
  <si>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</si>
  <si>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</si>
  <si>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</si>
  <si>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</si>
  <si>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</si>
  <si>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</si>
  <si>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</si>
  <si>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</si>
  <si>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</si>
  <si>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</si>
  <si>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</si>
  <si>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</si>
  <si>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</si>
  <si>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</si>
  <si>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</si>
  <si>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</si>
  <si>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</si>
  <si>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</si>
  <si>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</si>
  <si>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</si>
  <si>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</si>
  <si>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</si>
  <si>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</si>
  <si>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</si>
  <si>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</si>
  <si>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</si>
  <si>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</si>
  <si>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</si>
  <si>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</si>
  <si>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</si>
  <si>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</si>
  <si>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</si>
  <si>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</si>
  <si>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</si>
  <si>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</si>
  <si>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</si>
  <si>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</si>
  <si>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</si>
  <si>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</si>
  <si>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</si>
  <si>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</si>
  <si>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</si>
  <si>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</si>
  <si>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</si>
  <si>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</si>
  <si>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</si>
  <si>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</si>
  <si>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</si>
  <si>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</si>
  <si>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</si>
  <si>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</si>
  <si>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</si>
  <si>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</si>
  <si>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</si>
  <si>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</si>
  <si>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</si>
  <si>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</si>
  <si>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</si>
  <si>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</si>
  <si>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</si>
  <si>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</si>
  <si>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</si>
  <si>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</si>
  <si>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</si>
  <si>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</si>
  <si>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</si>
  <si>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</si>
  <si>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</si>
  <si>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</si>
  <si>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</si>
  <si>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</si>
  <si>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</si>
  <si>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</si>
  <si>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</si>
  <si>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</si>
  <si>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</si>
  <si>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</si>
  <si>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</si>
  <si>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</si>
  <si>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</si>
  <si>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</si>
  <si>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</si>
  <si>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</si>
  <si>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</si>
  <si>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</si>
  <si>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</si>
  <si>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</si>
  <si>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</si>
  <si>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</si>
  <si>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</si>
  <si>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</si>
  <si>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</si>
  <si>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</si>
  <si>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</si>
  <si>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</si>
  <si>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</si>
  <si>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</si>
  <si>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</si>
  <si>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</si>
  <si>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</si>
  <si>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</si>
  <si>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</si>
  <si>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</si>
  <si>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</si>
  <si>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</si>
  <si>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</si>
  <si>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</si>
  <si>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</si>
  <si>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</si>
  <si>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</si>
  <si>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</si>
  <si>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</si>
  <si>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</si>
  <si>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</si>
  <si>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</si>
  <si>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</si>
  <si>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</si>
  <si>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</si>
  <si>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</si>
  <si>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</si>
  <si>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</si>
  <si>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</si>
  <si>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</si>
  <si>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</si>
  <si>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</si>
  <si>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</si>
  <si>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</si>
  <si>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</si>
  <si>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</si>
  <si>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</si>
  <si>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</si>
  <si>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</si>
  <si>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</si>
  <si>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</si>
  <si>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</si>
  <si>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</si>
  <si>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</si>
  <si>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</si>
  <si>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</si>
  <si>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</si>
  <si>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</si>
  <si>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</si>
  <si>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</si>
  <si>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</si>
  <si>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</si>
  <si>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</si>
  <si>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</si>
  <si>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</si>
  <si>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</si>
  <si>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</si>
  <si>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</si>
  <si>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</si>
  <si>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</si>
  <si>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</si>
  <si>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</si>
  <si>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</si>
  <si>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</si>
  <si>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</si>
  <si>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</si>
  <si>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</si>
  <si>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</si>
  <si>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</si>
  <si>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</si>
  <si>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</si>
  <si>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</si>
  <si>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</si>
  <si>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</si>
  <si>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</si>
  <si>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</si>
  <si>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</si>
  <si>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</si>
  <si>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</si>
  <si>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</si>
  <si>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</si>
  <si>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</si>
  <si>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</si>
  <si>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</si>
  <si>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</si>
  <si>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</si>
  <si>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</si>
  <si>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</si>
  <si>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</si>
  <si>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</si>
  <si>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</si>
  <si>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</si>
  <si>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</si>
  <si>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</si>
  <si>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</si>
  <si>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</si>
  <si>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</si>
  <si>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</si>
  <si>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</si>
  <si>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</si>
  <si>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</si>
  <si>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</si>
  <si>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</si>
  <si>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</si>
  <si>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</si>
  <si>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</si>
  <si>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</si>
  <si>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</si>
  <si>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</si>
  <si>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</si>
  <si>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</si>
  <si>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</si>
  <si>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</si>
  <si>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</si>
  <si>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</si>
  <si>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</si>
  <si>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</si>
  <si>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</si>
  <si>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</si>
  <si>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</si>
  <si>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</si>
  <si>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</si>
  <si>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</si>
  <si>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</si>
  <si>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</si>
  <si>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</si>
  <si>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</si>
  <si>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</si>
  <si>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</si>
  <si>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</si>
  <si>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</si>
  <si>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</si>
  <si>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</si>
  <si>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</si>
  <si>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</si>
  <si>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</si>
  <si>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</si>
  <si>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</si>
  <si>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</si>
  <si>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</si>
  <si>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</si>
  <si>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</si>
  <si>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</si>
  <si>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</si>
  <si>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</si>
  <si>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</si>
  <si>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</si>
  <si>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</si>
  <si>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</si>
  <si>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</si>
  <si>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</si>
  <si>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</si>
  <si>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</si>
  <si>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</si>
  <si>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</si>
  <si>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</si>
  <si>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</si>
  <si>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</si>
  <si>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</si>
  <si>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</si>
  <si>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</si>
  <si>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</si>
  <si>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</si>
  <si>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</si>
  <si>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</si>
  <si>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</si>
  <si>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</si>
  <si>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</si>
  <si>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</si>
  <si>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</si>
  <si>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</si>
  <si>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</si>
  <si>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</si>
  <si>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</si>
  <si>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</si>
  <si>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</si>
  <si>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</si>
  <si>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</si>
  <si>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</si>
  <si>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</si>
  <si>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</si>
  <si>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</si>
  <si>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</si>
  <si>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</si>
  <si>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</si>
  <si>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</si>
  <si>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</si>
  <si>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</si>
  <si>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</si>
  <si>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</si>
  <si>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</si>
  <si>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</si>
  <si>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</si>
  <si>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</si>
  <si>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</si>
  <si>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</si>
  <si>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</si>
  <si>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</si>
  <si>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</si>
  <si>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</si>
  <si>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</si>
  <si>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</si>
  <si>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</si>
  <si>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</si>
  <si>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</si>
  <si>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</si>
  <si>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</si>
  <si>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</si>
  <si>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</si>
  <si>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</si>
  <si>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</si>
  <si>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</si>
  <si>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</si>
  <si>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</si>
  <si>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</si>
  <si>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</si>
  <si>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</si>
  <si>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</si>
  <si>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</si>
  <si>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</si>
  <si>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</si>
  <si>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</si>
  <si>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</si>
  <si>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</si>
  <si>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</si>
  <si>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</si>
  <si>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</si>
  <si>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</si>
  <si>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</si>
  <si>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</si>
  <si>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</si>
  <si>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</si>
  <si>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</si>
  <si>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</si>
  <si>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</si>
  <si>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</si>
  <si>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</si>
  <si>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</si>
  <si>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</si>
  <si>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</si>
  <si>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</si>
  <si>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</si>
  <si>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</si>
  <si>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</si>
  <si>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</si>
  <si>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</si>
  <si>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</si>
  <si>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</si>
  <si>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</si>
  <si>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</si>
  <si>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</si>
  <si>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</si>
  <si>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</si>
  <si>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</si>
  <si>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</si>
  <si>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</si>
  <si>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</si>
  <si>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</si>
  <si>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</si>
  <si>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</si>
  <si>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</si>
  <si>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</si>
  <si>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</si>
  <si>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</si>
  <si>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</si>
  <si>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</si>
  <si>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</si>
  <si>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</si>
  <si>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</si>
  <si>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</si>
  <si>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</si>
  <si>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</si>
  <si>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</si>
  <si>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</si>
  <si>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</si>
  <si>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</si>
  <si>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</si>
  <si>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</si>
  <si>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</si>
  <si>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</si>
  <si>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</si>
  <si>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</si>
  <si>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</si>
  <si>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</si>
  <si>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</si>
  <si>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</si>
  <si>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</si>
  <si>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</si>
  <si>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</si>
  <si>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</si>
  <si>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</si>
  <si>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</si>
  <si>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</si>
  <si>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</si>
  <si>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</si>
  <si>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</si>
  <si>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</si>
  <si>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</si>
  <si>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</si>
  <si>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</si>
  <si>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</si>
  <si>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</si>
  <si>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</si>
  <si>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</si>
  <si>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</si>
  <si>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</si>
  <si>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</si>
  <si>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</si>
  <si>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</si>
  <si>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</si>
  <si>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</si>
  <si>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</si>
  <si>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</si>
  <si>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</si>
  <si>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</si>
  <si>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</si>
  <si>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</si>
  <si>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</si>
  <si>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</si>
  <si>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</si>
  <si>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</si>
  <si>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</si>
  <si>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</si>
  <si>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</si>
  <si>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</si>
  <si>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</si>
  <si>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</si>
  <si>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</si>
  <si>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</si>
  <si>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</si>
  <si>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</si>
  <si>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</si>
  <si>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</si>
  <si>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</si>
  <si>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</si>
  <si>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</si>
  <si>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</si>
  <si>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</si>
  <si>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</si>
  <si>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</si>
  <si>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</si>
  <si>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</si>
  <si>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</si>
  <si>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</si>
  <si>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</si>
  <si>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</si>
  <si>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</si>
  <si>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</si>
  <si>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</si>
  <si>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</si>
  <si>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</si>
  <si>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</si>
  <si>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</si>
  <si>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</si>
  <si>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</si>
  <si>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</si>
  <si>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</si>
  <si>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</si>
  <si>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</si>
  <si>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</si>
  <si>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</si>
  <si>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</si>
  <si>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</si>
  <si>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</si>
  <si>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</si>
  <si>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</si>
  <si>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</si>
  <si>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</si>
  <si>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</si>
  <si>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</si>
  <si>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</si>
  <si>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</si>
  <si>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</si>
  <si>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</si>
  <si>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</si>
  <si>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</si>
  <si>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</si>
  <si>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</si>
  <si>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</si>
  <si>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</si>
  <si>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</si>
  <si>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</si>
  <si>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</si>
  <si>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</si>
  <si>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</si>
  <si>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</si>
  <si>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</si>
  <si>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</si>
  <si>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</si>
  <si>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</si>
  <si>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</si>
  <si>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</si>
  <si>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</si>
  <si>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</si>
  <si>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</si>
  <si>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</si>
  <si>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</si>
  <si>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</si>
  <si>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</si>
  <si>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</si>
  <si>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</si>
  <si>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</si>
  <si>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</si>
  <si>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</si>
  <si>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</si>
  <si>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</si>
  <si>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</si>
  <si>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</si>
  <si>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</si>
  <si>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</si>
  <si>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</si>
  <si>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</si>
  <si>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</si>
  <si>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</si>
  <si>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</si>
  <si>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</si>
  <si>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</si>
  <si>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</si>
  <si>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</si>
  <si>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</si>
  <si>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</si>
  <si>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</si>
  <si>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</si>
  <si>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</si>
  <si>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</si>
  <si>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</si>
  <si>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</si>
  <si>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</si>
  <si>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</si>
  <si>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</si>
  <si>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</si>
  <si>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</si>
  <si>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</si>
  <si>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</si>
  <si>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</si>
  <si>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</si>
  <si>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</si>
  <si>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</si>
  <si>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</si>
  <si>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</si>
  <si>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</si>
  <si>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</si>
  <si>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</si>
  <si>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</si>
  <si>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</si>
  <si>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</si>
  <si>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</si>
  <si>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</si>
  <si>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</si>
  <si>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</si>
  <si>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</si>
  <si>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</si>
  <si>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</si>
  <si>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</si>
  <si>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</si>
  <si>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</si>
  <si>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</si>
  <si>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</si>
  <si>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</si>
  <si>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</si>
  <si>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</si>
  <si>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</si>
  <si>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</si>
  <si>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</si>
  <si>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</si>
  <si>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</si>
  <si>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</si>
  <si>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</si>
  <si>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</si>
  <si>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</si>
  <si>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</si>
  <si>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</si>
  <si>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</si>
  <si>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</si>
  <si>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</si>
  <si>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</si>
  <si>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</si>
  <si>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</si>
  <si>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</si>
  <si>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</si>
  <si>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</si>
  <si>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</si>
  <si>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</si>
  <si>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</si>
  <si>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</si>
  <si>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</si>
  <si>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</si>
  <si>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</si>
  <si>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</si>
  <si>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</si>
  <si>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</si>
  <si>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</si>
  <si>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</si>
  <si>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</si>
  <si>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</si>
  <si>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</si>
  <si>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</si>
  <si>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</si>
  <si>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</si>
  <si>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</si>
  <si>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</si>
  <si>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</si>
  <si>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</si>
  <si>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</si>
  <si>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</si>
  <si>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</si>
  <si>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</si>
  <si>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</si>
  <si>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</si>
  <si>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</si>
  <si>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</si>
  <si>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</si>
  <si>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</si>
  <si>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</si>
  <si>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</si>
  <si>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</si>
  <si>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</si>
  <si>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</si>
  <si>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</si>
  <si>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</si>
  <si>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</si>
  <si>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</si>
  <si>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</si>
  <si>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</si>
  <si>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</si>
  <si>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</si>
  <si>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</si>
  <si>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</si>
  <si>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</si>
  <si>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</si>
  <si>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</si>
  <si>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</si>
  <si>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</si>
  <si>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</si>
  <si>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</si>
  <si>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</si>
  <si>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</si>
  <si>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</si>
  <si>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</si>
  <si>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</si>
  <si>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</si>
  <si>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</si>
  <si>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</si>
  <si>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</si>
  <si>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</si>
  <si>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</si>
  <si>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</si>
  <si>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</si>
  <si>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</si>
  <si>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</si>
  <si>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</si>
  <si>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</si>
  <si>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</si>
  <si>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</si>
  <si>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</si>
  <si>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</si>
  <si>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</si>
  <si>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</si>
  <si>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</si>
  <si>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</si>
  <si>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</si>
  <si>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</si>
  <si>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</si>
  <si>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</si>
  <si>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</si>
  <si>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</si>
  <si>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</si>
  <si>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</si>
  <si>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</si>
  <si>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</si>
  <si>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</si>
  <si>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</si>
  <si>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</si>
  <si>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</si>
  <si>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</si>
  <si>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</si>
  <si>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</si>
  <si>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</si>
  <si>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</si>
  <si>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</si>
  <si>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</si>
  <si>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</si>
  <si>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</si>
  <si>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</si>
  <si>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</si>
  <si>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</si>
  <si>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</si>
  <si>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</si>
  <si>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</si>
  <si>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</si>
  <si>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</si>
  <si>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</si>
  <si>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</si>
  <si>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</si>
  <si>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</si>
  <si>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</si>
  <si>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</si>
  <si>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</si>
  <si>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</si>
  <si>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</si>
  <si>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</si>
  <si>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</si>
  <si>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</si>
  <si>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</si>
  <si>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</si>
  <si>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</si>
  <si>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</si>
  <si>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</si>
  <si>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</si>
  <si>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</si>
  <si>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</si>
  <si>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</si>
  <si>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</si>
  <si>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</si>
  <si>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</si>
  <si>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</si>
  <si>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</si>
  <si>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</si>
  <si>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</si>
  <si>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</si>
  <si>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</si>
  <si>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</si>
  <si>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</si>
  <si>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</si>
  <si>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</si>
  <si>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</si>
  <si>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</si>
  <si>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</si>
  <si>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</si>
  <si>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</si>
  <si>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</si>
  <si>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</si>
  <si>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</si>
  <si>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</si>
  <si>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</si>
  <si>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</si>
  <si>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</si>
  <si>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</si>
  <si>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</si>
  <si>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</si>
  <si>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</si>
  <si>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</si>
  <si>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</si>
  <si>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</si>
  <si>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</si>
  <si>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</si>
  <si>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</si>
  <si>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</si>
  <si>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</si>
  <si>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</si>
  <si>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</si>
  <si>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</si>
  <si>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</si>
  <si>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</si>
  <si>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</si>
  <si>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</si>
  <si>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</si>
  <si>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</si>
  <si>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</si>
  <si>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</si>
  <si>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</si>
  <si>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</si>
  <si>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</si>
  <si>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</si>
  <si>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</si>
  <si>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</si>
  <si>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</si>
  <si>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</si>
  <si>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</si>
  <si>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</si>
  <si>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</si>
  <si>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</si>
  <si>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</si>
  <si>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</si>
  <si>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</si>
  <si>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</si>
  <si>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</si>
  <si>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</si>
  <si>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</si>
  <si>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</si>
  <si>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</si>
  <si>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</si>
  <si>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</si>
  <si>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</si>
  <si>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</si>
  <si>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</si>
  <si>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</si>
  <si>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</si>
  <si>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</si>
  <si>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</si>
  <si>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</si>
  <si>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</si>
  <si>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</si>
  <si>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</si>
  <si>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</si>
  <si>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</si>
  <si>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</si>
  <si>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</si>
  <si>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</si>
  <si>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</si>
  <si>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</si>
  <si>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</si>
  <si>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</si>
  <si>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</si>
  <si>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</si>
  <si>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</si>
  <si>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</si>
  <si>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</si>
  <si>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</si>
  <si>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</si>
  <si>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</si>
  <si>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</si>
  <si>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</si>
  <si>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</si>
  <si>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</si>
  <si>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</si>
  <si>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</si>
  <si>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</si>
  <si>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</si>
  <si>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</si>
  <si>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</si>
  <si>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</si>
  <si>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</si>
  <si>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</si>
  <si>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</si>
  <si>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</si>
  <si>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</si>
  <si>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</si>
  <si>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</si>
  <si>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</si>
  <si>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</si>
  <si>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</si>
  <si>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</si>
  <si>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</si>
  <si>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</si>
  <si>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</si>
  <si>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</si>
  <si>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</si>
  <si>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</si>
  <si>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</si>
  <si>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</si>
  <si>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</si>
  <si>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</si>
  <si>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</si>
  <si>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</si>
  <si>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</si>
  <si>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</si>
  <si>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</si>
  <si>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</si>
  <si>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</si>
  <si>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</si>
  <si>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</si>
  <si>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</si>
  <si>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</si>
  <si>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</si>
  <si>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</si>
  <si>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</si>
  <si>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</si>
  <si>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</si>
  <si>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</si>
  <si>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</si>
  <si>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</si>
  <si>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</si>
  <si>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</si>
  <si>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</si>
  <si>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</si>
  <si>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</si>
  <si>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</si>
  <si>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</si>
  <si>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</si>
  <si>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</si>
  <si>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</si>
  <si>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</si>
  <si>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</si>
  <si>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</si>
  <si>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</si>
  <si>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</si>
  <si>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</si>
  <si>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</si>
  <si>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</si>
  <si>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</si>
  <si>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</si>
  <si>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</si>
  <si>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</si>
  <si>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</si>
  <si>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</si>
  <si>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</si>
  <si>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</si>
  <si>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</si>
  <si>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</si>
  <si>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</si>
  <si>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</si>
  <si>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</si>
  <si>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</si>
  <si>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</si>
  <si>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</si>
  <si>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</si>
  <si>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</si>
  <si>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</si>
  <si>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</si>
  <si>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</si>
  <si>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</si>
  <si>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</si>
  <si>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</si>
  <si>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</si>
  <si>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</si>
  <si>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</si>
  <si>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</si>
  <si>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</si>
  <si>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</si>
  <si>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</si>
  <si>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</si>
  <si>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</si>
  <si>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</si>
  <si>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</si>
  <si>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</si>
  <si>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</si>
  <si>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</si>
  <si>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</si>
  <si>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</si>
  <si>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</si>
  <si>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</si>
  <si>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</si>
  <si>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</si>
  <si>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</si>
  <si>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</si>
  <si>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</si>
  <si>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</si>
  <si>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</si>
  <si>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</si>
  <si>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</si>
  <si>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</si>
  <si>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</si>
  <si>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</si>
  <si>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</si>
  <si>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</si>
  <si>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</si>
  <si>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</si>
  <si>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</si>
  <si>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</si>
  <si>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</si>
  <si>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</si>
  <si>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</si>
  <si>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</si>
  <si>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</si>
  <si>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</si>
  <si>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</si>
  <si>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</si>
  <si>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</si>
  <si>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</si>
  <si>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</si>
  <si>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</si>
  <si>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</si>
  <si>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</si>
  <si>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</si>
  <si>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</si>
  <si>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</si>
  <si>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</si>
  <si>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</si>
  <si>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</si>
  <si>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</si>
  <si>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</si>
  <si>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</si>
  <si>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</si>
  <si>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</si>
  <si>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</si>
  <si>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</si>
  <si>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</si>
  <si>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</si>
  <si>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</si>
  <si>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</si>
  <si>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</si>
  <si>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</si>
  <si>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</si>
  <si>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</si>
  <si>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</si>
  <si>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</si>
  <si>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</si>
  <si>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</si>
  <si>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</si>
  <si>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</si>
  <si>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</si>
  <si>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</si>
  <si>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</si>
  <si>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</si>
  <si>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</si>
  <si>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</si>
  <si>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</si>
  <si>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</si>
  <si>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</si>
  <si>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</si>
  <si>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</si>
  <si>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</si>
  <si>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</si>
  <si>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</si>
  <si>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</si>
  <si>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</si>
  <si>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</si>
  <si>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</si>
  <si>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</si>
  <si>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</si>
  <si>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</si>
  <si>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</si>
  <si>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</si>
  <si>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</si>
  <si>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</si>
  <si>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</si>
  <si>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</si>
  <si>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</si>
  <si>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</si>
  <si>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</si>
  <si>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</si>
  <si>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</si>
  <si>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</si>
  <si>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</si>
  <si>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</si>
  <si>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</si>
  <si>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</si>
  <si>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</si>
  <si>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</si>
  <si>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</si>
  <si>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</si>
  <si>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</si>
  <si>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</si>
  <si>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</si>
  <si>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</si>
  <si>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</si>
  <si>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</si>
  <si>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</si>
  <si>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</si>
  <si>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</si>
  <si>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</si>
  <si>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</si>
  <si>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</si>
  <si>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</si>
  <si>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</si>
  <si>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</si>
  <si>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</si>
  <si>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</si>
  <si>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</si>
  <si>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</si>
  <si>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</si>
  <si>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</si>
  <si>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</si>
  <si>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</si>
  <si>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</si>
  <si>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</si>
  <si>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</si>
  <si>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</si>
  <si>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</si>
  <si>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</si>
  <si>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</si>
  <si>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</si>
  <si>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</si>
  <si>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</si>
  <si>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</si>
  <si>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</si>
  <si>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</si>
  <si>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</si>
  <si>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</si>
  <si>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</si>
  <si>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</si>
  <si>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</si>
  <si>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</si>
  <si>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</si>
  <si>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</si>
  <si>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</si>
  <si>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</si>
  <si>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</si>
  <si>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</si>
  <si>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</si>
  <si>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</si>
  <si>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</si>
  <si>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</si>
  <si>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</si>
  <si>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</si>
  <si>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</si>
  <si>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</si>
  <si>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</si>
  <si>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</si>
  <si>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</si>
  <si>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</si>
  <si>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</si>
  <si>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</si>
  <si>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</si>
  <si>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</si>
  <si>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</si>
  <si>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</si>
  <si>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</si>
  <si>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</si>
  <si>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</si>
  <si>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</si>
  <si>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</si>
  <si>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</si>
  <si>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</si>
  <si>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</si>
  <si>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</si>
  <si>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</si>
  <si>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</si>
  <si>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</si>
  <si>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</si>
  <si>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</si>
  <si>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</si>
  <si>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</si>
  <si>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</si>
  <si>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</si>
  <si>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</si>
  <si>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</si>
  <si>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</si>
  <si>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</si>
  <si>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</si>
  <si>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</si>
  <si>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</si>
  <si>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</si>
  <si>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</si>
  <si>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</si>
  <si>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</si>
  <si>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</si>
  <si>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</si>
  <si>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</si>
  <si>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</si>
  <si>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</si>
  <si>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</si>
  <si>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</si>
  <si>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</si>
  <si>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</si>
  <si>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</si>
  <si>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</si>
  <si>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</si>
  <si>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</si>
  <si>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</si>
  <si>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</si>
  <si>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</si>
  <si>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</si>
  <si>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</si>
  <si>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</si>
  <si>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</si>
  <si>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</si>
  <si>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</si>
  <si>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</si>
  <si>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</si>
  <si>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</si>
  <si>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</si>
  <si>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</si>
  <si>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</si>
  <si>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</si>
  <si>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</si>
  <si>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</si>
  <si>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</si>
  <si>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</si>
  <si>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</si>
  <si>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</si>
  <si>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</si>
  <si>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</si>
  <si>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</si>
  <si>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</si>
  <si>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</si>
  <si>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</si>
  <si>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</si>
  <si>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</si>
  <si>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</si>
  <si>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</si>
  <si>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</si>
  <si>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</si>
  <si>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</si>
  <si>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</si>
  <si>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</si>
  <si>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</si>
  <si>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</si>
  <si>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</si>
  <si>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</si>
  <si>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</si>
  <si>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</si>
  <si>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</si>
  <si>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</si>
  <si>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</si>
  <si>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</si>
  <si>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</si>
  <si>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</si>
  <si>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</si>
  <si>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</si>
  <si>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</si>
  <si>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</si>
  <si>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</si>
  <si>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</si>
  <si>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</si>
  <si>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</si>
  <si>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</si>
  <si>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</si>
  <si>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</si>
  <si>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</si>
  <si>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</si>
  <si>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</si>
  <si>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</si>
  <si>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</si>
  <si>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</si>
  <si>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</si>
  <si>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</si>
  <si>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</si>
  <si>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</si>
  <si>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</si>
  <si>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</si>
  <si>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</si>
  <si>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</si>
  <si>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</si>
  <si>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</si>
  <si>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</si>
  <si>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</si>
  <si>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</si>
  <si>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</si>
  <si>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</si>
  <si>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</si>
  <si>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</si>
  <si>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</si>
  <si>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</si>
  <si>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</si>
  <si>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</si>
  <si>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</si>
  <si>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</si>
  <si>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</si>
  <si>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</si>
  <si>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</si>
  <si>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</si>
  <si>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</si>
  <si>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</si>
  <si>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</si>
  <si>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</si>
  <si>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</si>
  <si>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</si>
  <si>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</si>
  <si>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</si>
  <si>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</si>
  <si>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</si>
  <si>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</si>
  <si>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</si>
  <si>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</si>
  <si>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</si>
  <si>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</si>
  <si>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</si>
  <si>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</si>
  <si>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</si>
  <si>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</si>
  <si>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</si>
  <si>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</si>
  <si>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</si>
  <si>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</si>
  <si>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</si>
  <si>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</si>
  <si>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</si>
  <si>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</si>
  <si>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</si>
  <si>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</si>
  <si>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</si>
  <si>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</si>
  <si>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</si>
  <si>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</si>
  <si>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</si>
  <si>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</si>
  <si>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</si>
  <si>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</si>
  <si>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</si>
  <si>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</si>
  <si>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</si>
  <si>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</si>
  <si>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</si>
  <si>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</si>
  <si>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</si>
  <si>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</si>
  <si>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</si>
  <si>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</si>
  <si>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</si>
  <si>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</si>
  <si>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</si>
  <si>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</si>
  <si>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</si>
  <si>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</si>
  <si>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</si>
  <si>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</si>
  <si>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</si>
  <si>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</si>
  <si>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</si>
  <si>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</si>
  <si>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</si>
  <si>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</si>
  <si>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</si>
  <si>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</si>
  <si>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</si>
  <si>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</si>
  <si>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</si>
  <si>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</si>
  <si>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</si>
  <si>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</si>
  <si>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</si>
  <si>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</si>
  <si>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</si>
  <si>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</si>
  <si>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</si>
  <si>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</si>
  <si>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</si>
  <si>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</si>
  <si>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</si>
  <si>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</si>
  <si>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</si>
  <si>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</si>
  <si>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</si>
  <si>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</si>
  <si>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</si>
  <si>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</si>
  <si>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</si>
  <si>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</si>
  <si>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</si>
  <si>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</si>
  <si>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</si>
  <si>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</si>
  <si>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</si>
  <si>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</si>
  <si>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</si>
  <si>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</si>
  <si>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</si>
  <si>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</si>
  <si>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</si>
  <si>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</si>
  <si>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</si>
  <si>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</si>
  <si>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</si>
  <si>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</si>
  <si>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</si>
  <si>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</si>
  <si>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</si>
  <si>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</si>
  <si>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</si>
  <si>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</si>
  <si>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</si>
  <si>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</si>
  <si>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</si>
  <si>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</si>
  <si>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</si>
  <si>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</si>
  <si>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</si>
  <si>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</si>
  <si>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</si>
  <si>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</si>
  <si>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</si>
  <si>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</si>
  <si>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</si>
  <si>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</si>
  <si>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</si>
  <si>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</si>
  <si>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</si>
  <si>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</si>
  <si>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</si>
  <si>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</si>
  <si>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</si>
  <si>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</si>
  <si>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</si>
  <si>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</si>
  <si>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</si>
  <si>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</si>
  <si>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</si>
  <si>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</si>
  <si>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</si>
  <si>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</si>
  <si>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</si>
  <si>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</si>
  <si>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</si>
  <si>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</si>
  <si>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</si>
  <si>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</si>
  <si>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</si>
  <si>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</si>
  <si>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</si>
  <si>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</si>
  <si>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</si>
  <si>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</si>
  <si>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</si>
  <si>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</si>
  <si>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</si>
  <si>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</si>
  <si>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</si>
  <si>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</si>
  <si>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</si>
  <si>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</si>
  <si>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</si>
  <si>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</si>
  <si>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</si>
  <si>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</si>
  <si>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</si>
  <si>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</si>
  <si>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</si>
  <si>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</si>
  <si>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</si>
  <si>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</si>
  <si>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</si>
  <si>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</si>
  <si>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</si>
  <si>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</si>
  <si>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</si>
  <si>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</si>
  <si>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</si>
  <si>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</si>
  <si>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</si>
  <si>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</si>
  <si>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</si>
  <si>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</si>
  <si>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</si>
  <si>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</si>
  <si>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</si>
  <si>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</si>
  <si>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</si>
  <si>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</si>
  <si>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</si>
  <si>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</si>
  <si>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</si>
  <si>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</si>
  <si>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</si>
  <si>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</si>
  <si>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</si>
  <si>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</si>
  <si>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</si>
  <si>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</si>
  <si>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</si>
  <si>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</si>
  <si>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</si>
  <si>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</si>
  <si>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</si>
  <si>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</si>
  <si>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</si>
  <si>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</si>
  <si>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</si>
  <si>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</si>
  <si>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</si>
  <si>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</si>
  <si>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</si>
  <si>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</si>
  <si>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</si>
  <si>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</si>
  <si>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</si>
  <si>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</si>
  <si>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</si>
  <si>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</si>
  <si>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</si>
  <si>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</si>
  <si>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</si>
  <si>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</si>
  <si>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</si>
  <si>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</si>
  <si>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</si>
  <si>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</si>
  <si>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</si>
  <si>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</si>
  <si>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</si>
  <si>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</si>
  <si>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</si>
  <si>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</si>
  <si>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</si>
  <si>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</si>
  <si>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</si>
  <si>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</si>
  <si>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</si>
  <si>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</si>
  <si>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</si>
  <si>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</si>
  <si>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</si>
  <si>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</si>
  <si>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</si>
  <si>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</si>
  <si>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</si>
  <si>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</si>
  <si>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</si>
  <si>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</si>
  <si>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</si>
  <si>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</si>
  <si>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</si>
  <si>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</si>
  <si>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</si>
  <si>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</si>
  <si>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</si>
  <si>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</si>
  <si>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</si>
  <si>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</si>
  <si>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</si>
  <si>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</si>
  <si>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</si>
  <si>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</si>
  <si>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</si>
  <si>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</si>
  <si>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</si>
  <si>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</si>
  <si>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</si>
  <si>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</si>
  <si>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</si>
  <si>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</si>
  <si>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</si>
  <si>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</si>
  <si>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</si>
  <si>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</si>
  <si>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</si>
  <si>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</si>
  <si>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</si>
  <si>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</si>
  <si>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</si>
  <si>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</si>
  <si>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</si>
  <si>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</si>
  <si>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</si>
  <si>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</si>
  <si>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</si>
  <si>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</si>
  <si>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</si>
  <si>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</si>
  <si>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</si>
  <si>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</si>
  <si>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</si>
  <si>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</si>
  <si>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</si>
  <si>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</si>
  <si>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</si>
  <si>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</si>
  <si>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</si>
  <si>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</si>
  <si>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</si>
  <si>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</si>
  <si>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</si>
  <si>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</si>
  <si>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</si>
  <si>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</si>
  <si>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</si>
  <si>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</si>
  <si>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</si>
  <si>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</si>
  <si>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</si>
  <si>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</si>
  <si>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</si>
  <si>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</si>
  <si>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</si>
  <si>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</si>
  <si>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</si>
  <si>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</si>
  <si>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</si>
  <si>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</si>
  <si>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</si>
  <si>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</si>
  <si>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</si>
  <si>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</si>
  <si>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</si>
  <si>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</si>
  <si>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</si>
  <si>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</si>
  <si>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</si>
  <si>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</si>
  <si>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</si>
  <si>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</si>
  <si>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</si>
  <si>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</si>
  <si>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</si>
  <si>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</si>
  <si>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</si>
  <si>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</si>
  <si>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</si>
  <si>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</si>
  <si>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</si>
  <si>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</si>
  <si>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</si>
  <si>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</si>
  <si>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</si>
  <si>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</si>
  <si>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</si>
  <si>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</si>
  <si>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</si>
  <si>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</si>
  <si>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</si>
  <si>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</si>
  <si>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</si>
  <si>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</si>
  <si>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</si>
  <si>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</si>
  <si>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</si>
  <si>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</si>
  <si>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</si>
  <si>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</si>
  <si>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</si>
  <si>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</si>
  <si>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</si>
  <si>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</si>
  <si>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</si>
  <si>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</si>
  <si>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</si>
  <si>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</si>
  <si>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</si>
  <si>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</si>
  <si>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</si>
  <si>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</si>
  <si>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</si>
  <si>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</si>
  <si>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</si>
  <si>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</si>
  <si>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</si>
  <si>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</si>
  <si>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</si>
  <si>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</si>
  <si>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</si>
  <si>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</si>
  <si>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</si>
  <si>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</si>
  <si>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</si>
  <si>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</si>
  <si>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</si>
  <si>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</si>
  <si>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</si>
  <si>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</si>
  <si>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</si>
  <si>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</si>
  <si>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</si>
  <si>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</si>
  <si>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</si>
  <si>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</si>
  <si>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</si>
  <si>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</si>
  <si>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</si>
  <si>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</si>
  <si>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</si>
  <si>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</si>
  <si>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</si>
  <si>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</si>
  <si>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</si>
  <si>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</si>
  <si>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</si>
  <si>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</si>
  <si>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</si>
  <si>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</si>
  <si>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</si>
  <si>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</si>
  <si>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</si>
  <si>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</si>
  <si>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</si>
  <si>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</si>
  <si>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</si>
  <si>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</si>
  <si>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</si>
  <si>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</si>
  <si>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</si>
  <si>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</si>
  <si>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</si>
  <si>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</si>
  <si>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</si>
  <si>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</si>
  <si>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</si>
  <si>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</si>
  <si>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</si>
  <si>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</si>
  <si>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</si>
  <si>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</si>
  <si>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</si>
  <si>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</si>
  <si>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</si>
  <si>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</si>
  <si>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</si>
  <si>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</si>
  <si>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</si>
  <si>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</si>
  <si>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</si>
  <si>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</si>
  <si>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</si>
  <si>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</si>
  <si>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</si>
  <si>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</si>
  <si>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</si>
  <si>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</si>
  <si>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</si>
  <si>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</si>
  <si>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</si>
  <si>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</si>
  <si>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</si>
  <si>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</si>
  <si>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</si>
  <si>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</si>
  <si>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</si>
  <si>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</si>
  <si>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</si>
  <si>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</si>
  <si>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</si>
  <si>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</si>
  <si>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</si>
  <si>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</si>
  <si>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</si>
  <si>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</si>
  <si>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</si>
  <si>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</si>
  <si>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</si>
  <si>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</si>
  <si>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</si>
  <si>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</si>
  <si>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</si>
  <si>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</si>
  <si>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</si>
  <si>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</si>
  <si>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</si>
  <si>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</si>
  <si>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</si>
  <si>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</si>
  <si>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</si>
  <si>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</si>
  <si>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</si>
  <si>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</si>
  <si>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</si>
  <si>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</si>
  <si>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</si>
  <si>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</si>
  <si>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</si>
  <si>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</si>
  <si>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</si>
  <si>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</si>
  <si>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</si>
  <si>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</si>
  <si>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</si>
  <si>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</si>
  <si>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</si>
  <si>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</si>
  <si>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</si>
  <si>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</si>
  <si>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</si>
  <si>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</si>
  <si>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</si>
  <si>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</si>
  <si>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</si>
  <si>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</si>
  <si>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</si>
  <si>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</si>
  <si>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</si>
  <si>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</si>
  <si>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</si>
  <si>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</si>
  <si>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</si>
  <si>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</si>
  <si>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</si>
  <si>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</si>
  <si>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</si>
  <si>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</si>
  <si>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</si>
  <si>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</si>
  <si>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</si>
  <si>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</si>
  <si>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</si>
  <si>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</si>
  <si>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</si>
  <si>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</si>
  <si>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</si>
  <si>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</si>
  <si>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</si>
  <si>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</si>
  <si>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</si>
  <si>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</si>
  <si>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</si>
  <si>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</si>
  <si>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</si>
  <si>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</si>
  <si>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</si>
  <si>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</si>
  <si>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</si>
  <si>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</si>
  <si>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</si>
  <si>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</si>
  <si>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</si>
  <si>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</si>
  <si>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</si>
  <si>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</si>
  <si>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</si>
  <si>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</si>
  <si>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</si>
  <si>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</si>
  <si>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</si>
  <si>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</si>
  <si>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</si>
  <si>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</si>
  <si>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</si>
  <si>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</si>
  <si>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</si>
  <si>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</si>
  <si>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</si>
  <si>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</si>
  <si>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</si>
  <si>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</si>
  <si>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</si>
  <si>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</si>
  <si>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</si>
  <si>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</si>
  <si>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</si>
  <si>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</si>
  <si>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</si>
  <si>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</si>
  <si>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</si>
  <si>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</si>
  <si>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</si>
  <si>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</si>
  <si>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</si>
  <si>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</si>
  <si>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</si>
  <si>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</si>
  <si>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</si>
  <si>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</si>
  <si>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</si>
  <si>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</si>
  <si>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</si>
  <si>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</si>
  <si>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</si>
  <si>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</si>
  <si>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</si>
  <si>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</si>
  <si>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</si>
  <si>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</si>
  <si>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</si>
  <si>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</si>
  <si>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</si>
  <si>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</si>
  <si>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</si>
  <si>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</si>
  <si>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</si>
  <si>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</si>
  <si>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</si>
  <si>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</si>
  <si>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</si>
  <si>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</si>
  <si>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</si>
  <si>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</si>
  <si>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</si>
  <si>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</si>
  <si>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</si>
  <si>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</si>
  <si>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</si>
  <si>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</si>
  <si>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</si>
  <si>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</si>
  <si>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</si>
  <si>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</si>
  <si>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</si>
  <si>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</si>
  <si>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</si>
  <si>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</si>
  <si>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</si>
  <si>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</si>
  <si>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</si>
  <si>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</si>
  <si>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</si>
  <si>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</si>
  <si>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</si>
  <si>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</si>
  <si>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</si>
  <si>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</si>
  <si>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</si>
  <si>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</si>
  <si>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</si>
  <si>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</si>
  <si>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</si>
  <si>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</si>
  <si>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</si>
  <si>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</si>
  <si>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</si>
  <si>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</si>
  <si>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</si>
  <si>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</si>
  <si>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</si>
  <si>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</si>
  <si>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</si>
  <si>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</si>
  <si>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</si>
  <si>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</si>
  <si>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</si>
  <si>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</si>
  <si>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</si>
  <si>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</si>
  <si>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</si>
  <si>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</si>
  <si>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</si>
  <si>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</si>
  <si>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</si>
  <si>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</si>
  <si>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</si>
  <si>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</si>
  <si>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</si>
  <si>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</si>
  <si>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</si>
  <si>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</si>
  <si>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</si>
  <si>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</si>
  <si>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</si>
  <si>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</si>
  <si>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</si>
  <si>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</si>
  <si>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</si>
  <si>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</si>
  <si>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</si>
  <si>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</si>
  <si>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</si>
  <si>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</si>
  <si>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</si>
  <si>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</si>
  <si>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</si>
  <si>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</si>
  <si>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</si>
  <si>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</si>
  <si>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</si>
  <si>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</si>
  <si>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</si>
  <si>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</si>
  <si>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</si>
  <si>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</si>
  <si>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</si>
  <si>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</si>
  <si>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</si>
  <si>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</si>
  <si>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</si>
  <si>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</si>
  <si>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</si>
  <si>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</si>
  <si>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</si>
  <si>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</si>
  <si>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</si>
  <si>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</si>
  <si>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</si>
  <si>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</si>
  <si>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</si>
  <si>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</si>
  <si>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</si>
  <si>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</si>
  <si>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</si>
  <si>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</si>
  <si>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</si>
  <si>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</si>
  <si>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</si>
  <si>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</si>
  <si>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</si>
  <si>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</si>
  <si>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</si>
  <si>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</si>
  <si>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</si>
  <si>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</si>
  <si>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</si>
  <si>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</si>
  <si>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</si>
  <si>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</si>
  <si>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</si>
  <si>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</si>
  <si>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</si>
  <si>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</si>
  <si>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</si>
  <si>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</si>
  <si>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</si>
  <si>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</si>
  <si>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</si>
  <si>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</si>
  <si>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</si>
  <si>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</si>
  <si>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</si>
  <si>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</si>
  <si>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</si>
  <si>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</si>
  <si>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</si>
  <si>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</si>
  <si>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</si>
  <si>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</si>
  <si>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</si>
  <si>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</si>
  <si>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</si>
  <si>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</si>
  <si>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</si>
  <si>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</si>
  <si>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</si>
  <si>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</si>
  <si>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</si>
  <si>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</si>
  <si>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</si>
  <si>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</si>
  <si>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</si>
  <si>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</si>
  <si>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</si>
  <si>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</si>
  <si>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</si>
  <si>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</si>
  <si>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</si>
  <si>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</si>
  <si>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</si>
  <si>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</si>
  <si>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</si>
  <si>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</si>
  <si>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</si>
  <si>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</si>
  <si>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</si>
  <si>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</si>
  <si>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</si>
  <si>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</si>
  <si>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</si>
  <si>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</si>
  <si>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</si>
  <si>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</si>
  <si>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</si>
  <si>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</si>
  <si>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</si>
  <si>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</si>
  <si>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</si>
  <si>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</si>
  <si>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</si>
  <si>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</si>
  <si>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</si>
  <si>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</si>
  <si>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</si>
  <si>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</si>
  <si>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</si>
  <si>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</si>
  <si>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</si>
  <si>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</si>
  <si>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</si>
  <si>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</si>
  <si>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</si>
  <si>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</si>
  <si>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</si>
  <si>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</si>
  <si>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</si>
  <si>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</si>
  <si>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</si>
  <si>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</si>
  <si>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</si>
  <si>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</si>
  <si>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</si>
  <si>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</si>
  <si>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</si>
  <si>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</si>
  <si>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</si>
  <si>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</si>
  <si>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</si>
  <si>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</si>
  <si>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</si>
  <si>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</si>
  <si>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</si>
  <si>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</si>
  <si>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</si>
  <si>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</si>
  <si>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</si>
  <si>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</si>
  <si>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</si>
  <si>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</si>
  <si>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</si>
  <si>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</si>
  <si>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</si>
  <si>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</si>
  <si>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</si>
  <si>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</si>
  <si>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</si>
  <si>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</si>
  <si>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</si>
  <si>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</si>
  <si>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</si>
  <si>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</si>
  <si>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</si>
  <si>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</si>
  <si>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</si>
  <si>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</si>
  <si>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</si>
  <si>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</si>
  <si>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</si>
  <si>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</si>
  <si>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</si>
  <si>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</si>
  <si>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</si>
  <si>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</si>
  <si>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</si>
  <si>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</si>
  <si>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</si>
  <si>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</si>
  <si>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</si>
  <si>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</si>
  <si>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</si>
  <si>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</si>
  <si>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</si>
  <si>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</si>
  <si>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</si>
  <si>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</si>
  <si>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</si>
  <si>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</si>
  <si>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</si>
  <si>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</si>
  <si>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</si>
  <si>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</si>
  <si>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</si>
  <si>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</si>
  <si>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</si>
  <si>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</si>
  <si>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</si>
  <si>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</si>
  <si>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</si>
  <si>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</si>
  <si>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</si>
  <si>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</si>
  <si>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</si>
  <si>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</si>
  <si>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</si>
  <si>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</si>
  <si>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</si>
  <si>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</si>
  <si>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</si>
  <si>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</si>
  <si>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</si>
  <si>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</si>
  <si>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</si>
  <si>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</si>
  <si>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</si>
  <si>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</si>
  <si>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</si>
  <si>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</si>
  <si>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</si>
  <si>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</si>
  <si>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</si>
  <si>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</si>
  <si>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</si>
  <si>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</si>
  <si>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</si>
  <si>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</si>
  <si>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</si>
  <si>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</si>
  <si>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</si>
  <si>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</si>
  <si>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</si>
  <si>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</si>
  <si>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</si>
  <si>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</si>
  <si>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</si>
  <si>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</si>
  <si>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</si>
  <si>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</si>
  <si>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</si>
  <si>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</si>
  <si>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</si>
  <si>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</si>
  <si>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</si>
  <si>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</si>
  <si>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</si>
  <si>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</si>
  <si>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</si>
  <si>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</si>
  <si>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</si>
  <si>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</si>
  <si>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</si>
  <si>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</si>
  <si>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</si>
  <si>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</si>
  <si>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</si>
  <si>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</si>
  <si>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</si>
  <si>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</si>
  <si>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</si>
  <si>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</si>
  <si>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</si>
  <si>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</si>
  <si>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</si>
  <si>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</si>
  <si>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</si>
  <si>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</si>
  <si>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</si>
  <si>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</si>
  <si>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</si>
  <si>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</si>
  <si>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</si>
  <si>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</si>
  <si>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</si>
  <si>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</si>
  <si>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</si>
  <si>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</si>
  <si>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</si>
  <si>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</si>
  <si>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</si>
  <si>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</si>
  <si>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</si>
  <si>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</si>
  <si>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</si>
  <si>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</si>
  <si>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</si>
  <si>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</si>
  <si>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</si>
  <si>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</si>
  <si>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</si>
  <si>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</si>
  <si>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</si>
  <si>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</si>
  <si>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</si>
  <si>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</si>
  <si>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</si>
  <si>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</si>
  <si>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</si>
  <si>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</si>
  <si>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</si>
  <si>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</si>
  <si>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</si>
  <si>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</si>
  <si>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</si>
  <si>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</si>
  <si>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</si>
  <si>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</si>
  <si>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</si>
  <si>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</si>
  <si>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</si>
  <si>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</si>
  <si>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</si>
  <si>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</si>
  <si>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</si>
  <si>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</si>
  <si>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</si>
  <si>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</si>
  <si>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</si>
  <si>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</si>
  <si>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</si>
  <si>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</si>
  <si>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</si>
  <si>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</si>
  <si>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</si>
  <si>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</si>
  <si>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</si>
  <si>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</si>
  <si>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</si>
  <si>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</si>
  <si>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</si>
  <si>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</si>
  <si>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</si>
  <si>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</si>
  <si>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</si>
  <si>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</si>
  <si>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</si>
  <si>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</si>
  <si>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</si>
  <si>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</si>
  <si>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</si>
  <si>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</si>
  <si>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</si>
  <si>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</si>
  <si>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</si>
  <si>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</si>
  <si>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</si>
  <si>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</si>
  <si>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</si>
  <si>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</si>
  <si>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</si>
  <si>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</si>
  <si>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</si>
  <si>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</si>
  <si>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</si>
  <si>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</si>
  <si>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</si>
  <si>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</si>
  <si>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</si>
  <si>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</si>
  <si>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</si>
  <si>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</si>
  <si>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</si>
  <si>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</si>
  <si>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</si>
  <si>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</si>
  <si>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</si>
  <si>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</si>
  <si>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</si>
  <si>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</si>
  <si>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</si>
  <si>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</si>
  <si>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</si>
  <si>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</si>
  <si>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</si>
  <si>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</si>
  <si>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</si>
  <si>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</si>
  <si>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</si>
  <si>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</si>
  <si>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</si>
  <si>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</si>
  <si>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</si>
  <si>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</si>
  <si>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</si>
  <si>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</si>
  <si>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</si>
  <si>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</si>
  <si>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</si>
  <si>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</si>
  <si>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</si>
  <si>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</si>
  <si>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</si>
  <si>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</si>
  <si>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</si>
  <si>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</si>
  <si>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</si>
  <si>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</si>
  <si>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</si>
  <si>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</si>
  <si>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</si>
  <si>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</si>
  <si>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</si>
  <si>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</si>
  <si>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</si>
  <si>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</si>
  <si>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</si>
  <si>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</si>
  <si>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</si>
  <si>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</si>
  <si>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</si>
  <si>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</si>
  <si>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</si>
  <si>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</si>
  <si>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</si>
  <si>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</si>
  <si>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</si>
  <si>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</si>
  <si>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</si>
  <si>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</si>
  <si>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</si>
  <si>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</si>
  <si>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</si>
  <si>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</si>
  <si>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</si>
  <si>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</si>
  <si>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</si>
  <si>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</si>
  <si>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</si>
  <si>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</si>
  <si>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</si>
  <si>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</si>
  <si>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</si>
  <si>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</si>
  <si>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</si>
  <si>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</si>
  <si>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</si>
  <si>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</si>
  <si>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</si>
  <si>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</si>
  <si>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</si>
  <si>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</si>
  <si>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</si>
  <si>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</si>
  <si>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</si>
  <si>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</si>
  <si>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</si>
  <si>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</si>
  <si>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</si>
  <si>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</si>
  <si>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</si>
  <si>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</si>
  <si>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</si>
  <si>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</si>
  <si>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</si>
  <si>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</si>
  <si>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</si>
  <si>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</si>
  <si>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</si>
  <si>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</si>
  <si>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</si>
  <si>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</si>
  <si>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</si>
  <si>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</si>
  <si>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</si>
  <si>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</si>
  <si>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</si>
  <si>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</si>
  <si>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</si>
  <si>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</si>
  <si>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</si>
  <si>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</si>
  <si>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</si>
  <si>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</si>
  <si>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</si>
  <si>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</si>
  <si>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</si>
  <si>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</si>
  <si>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</si>
  <si>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</si>
  <si>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</si>
  <si>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</si>
  <si>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</si>
  <si>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</si>
  <si>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</si>
  <si>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</si>
  <si>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</si>
  <si>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</si>
  <si>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</si>
  <si>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</si>
  <si>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</si>
  <si>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</si>
  <si>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</si>
  <si>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</si>
  <si>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</si>
  <si>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</si>
  <si>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</si>
  <si>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</si>
  <si>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</si>
  <si>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</si>
  <si>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</si>
  <si>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</si>
  <si>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</si>
  <si>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</si>
  <si>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</si>
  <si>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</si>
  <si>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</si>
  <si>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</si>
  <si>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</si>
  <si>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</si>
  <si>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</si>
  <si>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</si>
  <si>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</si>
  <si>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</si>
  <si>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</si>
  <si>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</si>
  <si>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</si>
  <si>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</si>
  <si>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</si>
  <si>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</si>
  <si>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</si>
  <si>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</si>
  <si>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</si>
  <si>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</si>
  <si>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</si>
  <si>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</si>
  <si>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</si>
  <si>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</si>
  <si>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</si>
  <si>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</si>
  <si>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</si>
  <si>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</si>
  <si>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</si>
  <si>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</si>
  <si>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</si>
  <si>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</si>
  <si>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</si>
  <si>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</si>
  <si>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</si>
  <si>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</si>
  <si>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</si>
  <si>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</si>
  <si>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</si>
  <si>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</si>
  <si>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</si>
  <si>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</si>
  <si>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</si>
  <si>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</si>
  <si>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</si>
  <si>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</si>
  <si>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</si>
  <si>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</si>
  <si>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</si>
  <si>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</si>
  <si>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</si>
  <si>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</si>
  <si>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</si>
  <si>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</si>
  <si>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</si>
  <si>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</si>
  <si>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</si>
  <si>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</si>
  <si>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</si>
  <si>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</si>
  <si>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</si>
  <si>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</si>
  <si>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</si>
  <si>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</si>
  <si>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</si>
  <si>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</si>
  <si>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</si>
  <si>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</si>
  <si>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</si>
  <si>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</si>
  <si>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</si>
  <si>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</si>
  <si>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</si>
  <si>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</si>
  <si>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</si>
  <si>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</si>
  <si>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</si>
  <si>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</si>
  <si>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</si>
  <si>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</si>
  <si>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</si>
  <si>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</si>
  <si>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</si>
  <si>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</si>
  <si>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</si>
  <si>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</si>
  <si>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</si>
  <si>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</si>
  <si>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</si>
  <si>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</si>
  <si>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</si>
  <si>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</si>
  <si>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</si>
  <si>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</si>
  <si>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</si>
  <si>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</si>
  <si>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</si>
  <si>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</si>
  <si>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</si>
  <si>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</si>
  <si>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</si>
  <si>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</si>
  <si>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</si>
  <si>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</si>
  <si>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</si>
  <si>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</si>
  <si>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</si>
  <si>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</si>
  <si>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</si>
  <si>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</si>
  <si>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</si>
  <si>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</si>
  <si>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</si>
  <si>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</si>
  <si>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</si>
  <si>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</si>
  <si>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</si>
  <si>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</si>
  <si>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</si>
  <si>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</si>
  <si>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</si>
  <si>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</si>
  <si>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</si>
  <si>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</si>
  <si>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</si>
  <si>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</si>
  <si>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</si>
  <si>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</si>
  <si>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</si>
  <si>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</si>
  <si>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</si>
  <si>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</si>
  <si>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</si>
  <si>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</si>
  <si>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</si>
  <si>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</si>
  <si>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</si>
  <si>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</si>
  <si>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</si>
  <si>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</si>
  <si>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</si>
  <si>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</si>
  <si>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</si>
  <si>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</si>
  <si>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</si>
  <si>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</si>
  <si>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</si>
  <si>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</si>
  <si>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</si>
  <si>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</si>
  <si>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</si>
  <si>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</si>
  <si>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</si>
  <si>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</si>
  <si>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</si>
  <si>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</si>
  <si>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</si>
  <si>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</si>
  <si>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</si>
  <si>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</si>
  <si>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</si>
  <si>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</si>
  <si>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</si>
  <si>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</si>
  <si>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</si>
  <si>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</si>
  <si>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</si>
  <si>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</si>
  <si>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</si>
  <si>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</si>
  <si>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</si>
  <si>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</si>
  <si>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</si>
  <si>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</si>
  <si>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</si>
  <si>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</si>
  <si>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</si>
  <si>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</si>
  <si>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</si>
  <si>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</si>
  <si>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</si>
  <si>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</si>
  <si>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</si>
  <si>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</si>
  <si>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</si>
  <si>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</si>
  <si>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</si>
  <si>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</si>
  <si>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</si>
  <si>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</si>
  <si>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</si>
  <si>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</si>
  <si>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</si>
  <si>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</si>
  <si>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</si>
  <si>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</si>
  <si>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</si>
  <si>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</si>
  <si>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</si>
  <si>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</si>
  <si>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</si>
  <si>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</si>
  <si>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</si>
  <si>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</si>
  <si>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</si>
  <si>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</si>
  <si>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</si>
  <si>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</si>
  <si>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</si>
  <si>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</si>
  <si>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</si>
  <si>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</si>
  <si>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</si>
  <si>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</si>
  <si>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</si>
  <si>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</si>
  <si>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</si>
  <si>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</si>
  <si>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</si>
  <si>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</si>
  <si>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</si>
  <si>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</si>
  <si>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</si>
  <si>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</si>
  <si>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</si>
  <si>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</si>
  <si>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</si>
  <si>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</si>
  <si>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</si>
  <si>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</si>
  <si>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</si>
  <si>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</si>
  <si>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</si>
  <si>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</si>
  <si>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</si>
  <si>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</si>
  <si>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</si>
  <si>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</si>
  <si>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</si>
  <si>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</si>
  <si>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</si>
  <si>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</si>
  <si>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</si>
  <si>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</si>
  <si>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</si>
  <si>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</si>
  <si>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</si>
  <si>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</si>
  <si>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</si>
  <si>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</si>
  <si>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</si>
  <si>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</si>
  <si>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</si>
  <si>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</si>
  <si>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</si>
  <si>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</si>
  <si>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</si>
  <si>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</si>
  <si>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</si>
  <si>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</si>
  <si>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</si>
  <si>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</si>
  <si>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</si>
  <si>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</si>
  <si>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</si>
  <si>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</si>
  <si>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</si>
  <si>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</si>
  <si>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</si>
  <si>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</si>
  <si>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</si>
  <si>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</si>
  <si>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</si>
  <si>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</si>
  <si>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</si>
  <si>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</si>
  <si>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</si>
  <si>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</si>
  <si>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</si>
  <si>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</si>
  <si>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</si>
  <si>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</si>
  <si>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</si>
  <si>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</si>
  <si>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</si>
  <si>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</si>
  <si>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</si>
  <si>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</si>
  <si>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</si>
  <si>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</si>
  <si>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</si>
  <si>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</si>
  <si>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</si>
  <si>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</si>
  <si>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</si>
  <si>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</si>
  <si>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</si>
  <si>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</si>
  <si>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</si>
  <si>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</si>
  <si>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</si>
  <si>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</si>
  <si>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</si>
  <si>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</si>
  <si>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</si>
  <si>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</si>
  <si>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</si>
  <si>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</si>
  <si>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</si>
  <si>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</si>
  <si>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</si>
  <si>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</si>
  <si>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</si>
  <si>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</si>
  <si>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</si>
  <si>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</si>
  <si>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</si>
  <si>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</si>
  <si>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</si>
  <si>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</si>
  <si>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</si>
  <si>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</si>
  <si>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</si>
  <si>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</si>
  <si>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</si>
  <si>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</si>
  <si>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</si>
  <si>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</si>
  <si>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</si>
  <si>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</si>
  <si>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</si>
  <si>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</si>
  <si>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</si>
  <si>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</si>
  <si>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</si>
  <si>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</si>
  <si>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</si>
  <si>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</si>
  <si>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</si>
  <si>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</si>
  <si>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</si>
  <si>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</si>
  <si>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</si>
  <si>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</si>
  <si>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</si>
  <si>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</si>
  <si>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</si>
  <si>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</si>
  <si>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</si>
  <si>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</si>
  <si>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</si>
  <si>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</si>
  <si>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</si>
  <si>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</si>
  <si>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</si>
  <si>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</si>
  <si>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</si>
  <si>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</si>
  <si>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</si>
  <si>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</si>
  <si>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</si>
  <si>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</si>
  <si>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</si>
  <si>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</si>
  <si>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</si>
  <si>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</si>
  <si>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</si>
  <si>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</si>
  <si>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</si>
  <si>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</si>
  <si>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</si>
  <si>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</si>
  <si>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</si>
  <si>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</si>
  <si>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</si>
  <si>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</si>
  <si>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</si>
  <si>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</si>
  <si>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</si>
  <si>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</si>
  <si>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</si>
  <si>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</si>
  <si>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</si>
  <si>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</si>
  <si>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</si>
  <si>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</si>
  <si>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</si>
  <si>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</si>
  <si>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</si>
  <si>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</si>
  <si>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</si>
  <si>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</si>
  <si>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</si>
  <si>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</si>
  <si>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</si>
  <si>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</si>
  <si>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</si>
  <si>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</si>
  <si>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</si>
  <si>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</si>
  <si>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</si>
  <si>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</si>
  <si>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</si>
  <si>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</si>
  <si>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</si>
  <si>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</si>
  <si>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</si>
  <si>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</si>
  <si>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</si>
  <si>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</si>
  <si>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</si>
  <si>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</si>
  <si>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</si>
  <si>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</si>
  <si>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</si>
  <si>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</si>
  <si>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</si>
  <si>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</si>
  <si>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</si>
  <si>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</si>
  <si>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</si>
  <si>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</si>
  <si>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</si>
  <si>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</si>
  <si>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</si>
  <si>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</si>
  <si>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</si>
  <si>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</si>
  <si>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</si>
  <si>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</si>
  <si>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</si>
  <si>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</si>
  <si>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</si>
  <si>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</si>
  <si>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</si>
  <si>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</si>
  <si>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</si>
  <si>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</si>
  <si>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</si>
  <si>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</si>
  <si>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</si>
  <si>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</si>
  <si>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</si>
  <si>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</si>
  <si>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</si>
  <si>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</si>
  <si>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</si>
  <si>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</si>
  <si>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</si>
  <si>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</si>
  <si>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</si>
  <si>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</si>
  <si>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</si>
  <si>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</si>
  <si>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</si>
  <si>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</si>
  <si>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</si>
  <si>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</si>
  <si>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</si>
  <si>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</si>
  <si>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</si>
  <si>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</si>
  <si>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</si>
  <si>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</si>
  <si>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</si>
  <si>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</si>
  <si>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</si>
  <si>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</si>
  <si>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</si>
  <si>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</si>
  <si>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</si>
  <si>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</si>
  <si>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</si>
  <si>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</si>
  <si>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</si>
  <si>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</si>
  <si>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</si>
  <si>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</si>
  <si>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</si>
  <si>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</si>
  <si>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</si>
  <si>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</si>
  <si>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</si>
  <si>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</si>
  <si>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</si>
  <si>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</si>
  <si>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</si>
  <si>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</si>
  <si>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</si>
  <si>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</si>
  <si>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</si>
  <si>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</si>
  <si>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</si>
  <si>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</si>
  <si>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</si>
  <si>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</si>
  <si>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</si>
  <si>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</si>
  <si>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</si>
  <si>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</si>
  <si>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</si>
  <si>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</si>
  <si>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</si>
  <si>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</si>
  <si>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</si>
  <si>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</si>
  <si>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</si>
  <si>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</si>
  <si>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</si>
  <si>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</si>
  <si>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</si>
  <si>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</si>
  <si>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</si>
  <si>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</si>
  <si>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</si>
  <si>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</si>
  <si>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</si>
  <si>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</si>
  <si>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</si>
  <si>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</si>
  <si>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</si>
  <si>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</si>
  <si>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</si>
  <si>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</si>
  <si>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</si>
  <si>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</si>
  <si>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</si>
  <si>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</si>
  <si>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</si>
  <si>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</si>
  <si>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</si>
  <si>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</si>
  <si>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</si>
  <si>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</si>
  <si>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</si>
  <si>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</si>
  <si>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</si>
  <si>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</si>
  <si>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</si>
  <si>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</si>
  <si>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</si>
  <si>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</si>
  <si>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</si>
  <si>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</si>
  <si>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</si>
  <si>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</si>
  <si>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</si>
  <si>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</si>
  <si>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</si>
  <si>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</si>
  <si>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</si>
  <si>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</si>
  <si>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</si>
  <si>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</si>
  <si>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</si>
  <si>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</si>
  <si>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</si>
  <si>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</si>
  <si>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</si>
  <si>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</si>
  <si>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</si>
  <si>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</si>
  <si>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</si>
  <si>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</si>
  <si>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</si>
  <si>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</si>
  <si>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</si>
  <si>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</si>
  <si>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</si>
  <si>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</si>
  <si>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</si>
  <si>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</si>
  <si>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</si>
  <si>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</si>
  <si>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</si>
  <si>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</si>
  <si>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</si>
  <si>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</si>
  <si>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</si>
  <si>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</si>
  <si>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</si>
  <si>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</si>
  <si>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</si>
  <si>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</si>
  <si>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</si>
  <si>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</si>
  <si>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</si>
  <si>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</si>
  <si>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</si>
  <si>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</si>
  <si>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</si>
  <si>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</si>
  <si>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</si>
  <si>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</si>
  <si>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</si>
  <si>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</si>
  <si>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</si>
  <si>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</si>
  <si>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</si>
  <si>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</si>
  <si>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</si>
  <si>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</si>
  <si>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</si>
  <si>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</si>
  <si>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</si>
  <si>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</si>
  <si>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</si>
  <si>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</si>
  <si>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</si>
  <si>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</si>
  <si>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</si>
  <si>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</si>
  <si>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</si>
  <si>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</si>
  <si>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</si>
  <si>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</si>
  <si>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</si>
  <si>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</si>
  <si>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</si>
  <si>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</si>
  <si>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</si>
  <si>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</si>
  <si>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</si>
  <si>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</si>
  <si>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</si>
  <si>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</si>
  <si>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</si>
  <si>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</si>
  <si>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</si>
  <si>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</si>
  <si>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</si>
  <si>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</si>
  <si>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</si>
  <si>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</si>
  <si>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</si>
  <si>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</si>
  <si>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</si>
  <si>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</si>
  <si>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</si>
  <si>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</si>
  <si>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</si>
  <si>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</si>
  <si>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</si>
  <si>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</si>
  <si>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</si>
  <si>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</si>
  <si>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</si>
  <si>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</si>
  <si>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</si>
  <si>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</si>
  <si>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</si>
  <si>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</si>
  <si>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</si>
  <si>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</si>
  <si>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</si>
  <si>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</si>
  <si>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</si>
  <si>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</si>
  <si>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</si>
  <si>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</si>
  <si>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</si>
  <si>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</si>
  <si>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</si>
  <si>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</si>
  <si>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</si>
  <si>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</si>
  <si>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</si>
  <si>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</si>
  <si>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</si>
  <si>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</si>
  <si>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</si>
  <si>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</si>
  <si>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</si>
  <si>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</si>
  <si>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</si>
  <si>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</si>
  <si>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</si>
  <si>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</si>
  <si>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</si>
  <si>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</si>
  <si>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</si>
  <si>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</si>
  <si>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</si>
  <si>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</si>
  <si>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</si>
  <si>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</si>
  <si>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</si>
  <si>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</si>
  <si>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</si>
  <si>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</si>
  <si>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</si>
  <si>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</si>
  <si>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</si>
  <si>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</si>
  <si>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</si>
  <si>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</si>
  <si>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</si>
  <si>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</si>
  <si>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</si>
  <si>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</si>
  <si>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</si>
  <si>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</si>
  <si>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</si>
  <si>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</si>
  <si>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</si>
  <si>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</si>
  <si>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</si>
  <si>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</si>
  <si>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</si>
  <si>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</si>
  <si>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</si>
  <si>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</si>
  <si>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</si>
  <si>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</si>
  <si>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</si>
  <si>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</si>
  <si>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</si>
  <si>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</si>
  <si>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</si>
  <si>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</si>
  <si>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</si>
  <si>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</si>
  <si>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</si>
  <si>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</si>
  <si>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</si>
  <si>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</si>
  <si>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</si>
  <si>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</si>
  <si>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</si>
  <si>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</si>
  <si>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</si>
  <si>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</si>
  <si>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</si>
  <si>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</si>
  <si>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</si>
  <si>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</si>
  <si>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</si>
  <si>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</si>
  <si>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</si>
  <si>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</si>
  <si>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</si>
  <si>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</si>
  <si>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</si>
  <si>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</si>
  <si>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</si>
  <si>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</si>
  <si>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</si>
  <si>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</si>
  <si>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</si>
  <si>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</si>
  <si>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</si>
  <si>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</si>
  <si>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</si>
  <si>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</si>
  <si>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</si>
  <si>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</si>
  <si>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</si>
  <si>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</si>
  <si>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</si>
  <si>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</si>
  <si>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</si>
  <si>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</si>
  <si>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</si>
  <si>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</si>
  <si>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</si>
  <si>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</si>
  <si>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</si>
  <si>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</si>
  <si>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</si>
  <si>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</si>
  <si>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</si>
  <si>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</si>
  <si>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</si>
  <si>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</si>
  <si>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</si>
  <si>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</si>
  <si>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</si>
  <si>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</si>
  <si>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</si>
  <si>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</si>
  <si>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</si>
  <si>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</si>
  <si>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</si>
  <si>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</si>
  <si>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</si>
  <si>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</si>
  <si>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</si>
  <si>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</si>
  <si>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</si>
  <si>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</si>
  <si>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</si>
  <si>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</si>
  <si>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</si>
  <si>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</si>
  <si>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</si>
  <si>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</si>
  <si>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</si>
  <si>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</si>
  <si>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</si>
  <si>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</si>
  <si>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</si>
  <si>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</si>
  <si>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</si>
  <si>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</si>
  <si>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</si>
  <si>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</si>
  <si>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</si>
  <si>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</si>
  <si>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</si>
  <si>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</si>
  <si>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</si>
  <si>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</si>
  <si>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</si>
  <si>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</si>
  <si>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</si>
  <si>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</si>
  <si>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</si>
  <si>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</si>
  <si>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</si>
  <si>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</si>
  <si>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</si>
  <si>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</si>
  <si>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</si>
  <si>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</si>
  <si>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</si>
  <si>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</si>
  <si>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</si>
  <si>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</si>
  <si>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</si>
  <si>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</si>
  <si>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</si>
  <si>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</si>
  <si>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</si>
  <si>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</si>
  <si>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</si>
  <si>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</si>
  <si>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</si>
  <si>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</si>
  <si>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</si>
  <si>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</si>
  <si>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</si>
  <si>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</si>
  <si>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</si>
  <si>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</si>
  <si>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</si>
  <si>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</si>
  <si>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</si>
  <si>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</si>
  <si>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</si>
  <si>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</si>
  <si>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</si>
  <si>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</si>
  <si>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</si>
  <si>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</si>
  <si>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</si>
  <si>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</si>
  <si>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</si>
  <si>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</si>
  <si>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</si>
  <si>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</si>
  <si>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</si>
  <si>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</si>
  <si>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</si>
  <si>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</si>
  <si>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</si>
  <si>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</si>
  <si>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</si>
  <si>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</si>
  <si>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</si>
  <si>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</si>
  <si>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</si>
  <si>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</si>
  <si>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</si>
  <si>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</si>
  <si>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</si>
  <si>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</si>
  <si>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</si>
  <si>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</si>
  <si>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</si>
  <si>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</si>
  <si>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</si>
  <si>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</si>
  <si>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</si>
  <si>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</si>
  <si>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</si>
  <si>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</si>
  <si>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</si>
  <si>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</si>
  <si>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</si>
  <si>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</si>
  <si>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</si>
  <si>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</si>
  <si>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</si>
  <si>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</si>
  <si>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</si>
  <si>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</si>
  <si>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</si>
  <si>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</si>
  <si>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</si>
  <si>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</si>
  <si>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</si>
  <si>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</si>
  <si>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</si>
  <si>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</si>
  <si>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</si>
  <si>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</si>
  <si>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</si>
  <si>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</si>
  <si>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</si>
  <si>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</si>
  <si>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</si>
  <si>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</si>
  <si>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</si>
  <si>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</si>
  <si>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</si>
  <si>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</si>
  <si>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</si>
  <si>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</si>
  <si>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</si>
  <si>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</si>
  <si>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</si>
  <si>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</si>
  <si>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</si>
  <si>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</si>
  <si>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</si>
  <si>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</si>
  <si>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</si>
  <si>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</si>
  <si>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</si>
  <si>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</si>
  <si>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</si>
  <si>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</si>
  <si>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</si>
  <si>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</si>
  <si>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</si>
  <si>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</si>
  <si>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</si>
  <si>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</si>
  <si>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</si>
  <si>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</si>
  <si>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</si>
  <si>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</si>
  <si>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</si>
  <si>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</si>
  <si>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</si>
  <si>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</si>
  <si>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</si>
  <si>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</si>
  <si>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</si>
  <si>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</si>
  <si>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</si>
  <si>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</si>
  <si>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</si>
  <si>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</si>
  <si>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</si>
  <si>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</si>
  <si>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</si>
  <si>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</si>
  <si>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</si>
  <si>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</si>
  <si>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</si>
  <si>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</si>
  <si>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</si>
  <si>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</si>
  <si>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</si>
  <si>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</si>
  <si>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</si>
  <si>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</si>
  <si>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</si>
  <si>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</si>
  <si>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</si>
  <si>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</si>
  <si>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</si>
  <si>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</si>
  <si>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</si>
  <si>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</si>
  <si>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</si>
  <si>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</si>
  <si>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</si>
  <si>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</si>
  <si>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</si>
  <si>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</si>
  <si>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</si>
  <si>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</si>
  <si>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</si>
  <si>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</si>
  <si>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</si>
  <si>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</si>
  <si>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</si>
  <si>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</si>
  <si>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</si>
  <si>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</si>
  <si>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</si>
  <si>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</si>
  <si>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</si>
  <si>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</si>
  <si>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</si>
  <si>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</si>
  <si>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</si>
  <si>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</si>
  <si>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</si>
  <si>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</si>
  <si>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</si>
  <si>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</si>
  <si>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</si>
  <si>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</si>
  <si>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</si>
  <si>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</si>
  <si>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</si>
  <si>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</si>
  <si>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</si>
  <si>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</si>
  <si>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</si>
  <si>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</si>
  <si>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</si>
  <si>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</si>
  <si>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</si>
  <si>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</si>
  <si>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</si>
  <si>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</si>
  <si>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</si>
  <si>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</si>
  <si>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</si>
  <si>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</si>
  <si>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</si>
  <si>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</si>
  <si>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</si>
  <si>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</si>
  <si>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</si>
  <si>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</si>
  <si>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</si>
  <si>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</si>
  <si>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</si>
  <si>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</si>
  <si>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</si>
  <si>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</si>
  <si>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</si>
  <si>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</si>
  <si>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</si>
  <si>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</si>
  <si>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</si>
  <si>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</si>
  <si>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</si>
  <si>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</si>
  <si>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</si>
  <si>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</si>
  <si>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</si>
  <si>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</si>
  <si>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</si>
  <si>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</si>
  <si>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</si>
  <si>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</si>
  <si>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</si>
  <si>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</si>
  <si>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</si>
  <si>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</si>
  <si>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</si>
  <si>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</si>
  <si>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</si>
  <si>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</si>
  <si>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</si>
  <si>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</si>
  <si>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</si>
  <si>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</si>
  <si>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</si>
  <si>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</si>
  <si>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</si>
  <si>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</si>
  <si>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</si>
  <si>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</si>
  <si>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</si>
  <si>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</si>
  <si>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</si>
  <si>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</si>
  <si>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</si>
  <si>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</si>
  <si>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</si>
  <si>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</si>
  <si>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</si>
  <si>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</si>
  <si>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</si>
  <si>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</si>
  <si>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</si>
  <si>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</si>
  <si>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</si>
  <si>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</si>
  <si>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</si>
  <si>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</si>
  <si>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</si>
  <si>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</si>
  <si>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</si>
  <si>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</si>
  <si>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</si>
  <si>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</si>
  <si>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</si>
  <si>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</si>
  <si>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</si>
  <si>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</si>
  <si>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</si>
  <si>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</si>
  <si>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</si>
  <si>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</si>
  <si>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</si>
  <si>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</si>
  <si>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</si>
  <si>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</si>
  <si>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</si>
  <si>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</si>
  <si>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</si>
  <si>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</si>
  <si>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</si>
  <si>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</si>
  <si>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</si>
  <si>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</si>
  <si>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</si>
  <si>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</si>
  <si>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</si>
  <si>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</si>
  <si>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</si>
  <si>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</si>
  <si>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</si>
  <si>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</si>
  <si>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</si>
  <si>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</si>
  <si>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</si>
  <si>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</si>
  <si>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</si>
  <si>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</si>
  <si>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</si>
  <si>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</si>
  <si>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</si>
  <si>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</si>
  <si>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</si>
  <si>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</si>
  <si>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</si>
  <si>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</si>
  <si>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</si>
  <si>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</si>
  <si>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</si>
  <si>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</si>
  <si>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</si>
  <si>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</si>
  <si>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</si>
  <si>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</si>
  <si>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</si>
  <si>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</si>
  <si>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</si>
  <si>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</si>
  <si>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</si>
  <si>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</si>
  <si>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</si>
  <si>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</si>
  <si>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</si>
  <si>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</si>
  <si>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</si>
  <si>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</si>
  <si>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</si>
  <si>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</si>
  <si>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</si>
  <si>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</si>
  <si>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</si>
  <si>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</si>
  <si>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</si>
  <si>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</si>
  <si>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</si>
  <si>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</si>
  <si>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</si>
  <si>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</si>
  <si>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</si>
  <si>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</si>
  <si>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</si>
  <si>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</si>
  <si>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</si>
  <si>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</si>
  <si>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</si>
  <si>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</si>
  <si>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</si>
  <si>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</si>
  <si>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</si>
  <si>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</si>
  <si>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</si>
  <si>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</si>
  <si>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</si>
  <si>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</si>
  <si>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</si>
  <si>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</si>
  <si>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</si>
  <si>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</si>
  <si>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</si>
  <si>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</si>
  <si>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</si>
  <si>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</si>
  <si>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</si>
  <si>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</si>
  <si>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</si>
  <si>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</si>
  <si>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</si>
  <si>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</si>
  <si>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</si>
  <si>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</si>
  <si>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</si>
  <si>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</si>
  <si>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</si>
  <si>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</si>
  <si>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</si>
  <si>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</si>
  <si>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</si>
  <si>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</si>
  <si>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</si>
  <si>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</si>
  <si>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</si>
  <si>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</si>
  <si>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</si>
  <si>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</si>
  <si>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</si>
  <si>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</si>
  <si>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</si>
  <si>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</si>
  <si>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</si>
  <si>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</si>
  <si>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</si>
  <si>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</si>
  <si>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</si>
  <si>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</si>
  <si>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</si>
  <si>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</si>
  <si>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</si>
  <si>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</si>
  <si>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</si>
  <si>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</si>
  <si>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</si>
  <si>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</si>
  <si>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</si>
  <si>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</si>
  <si>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</si>
  <si>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</si>
  <si>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</si>
  <si>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</si>
  <si>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</si>
  <si>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</si>
  <si>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</si>
  <si>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</si>
  <si>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</si>
  <si>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</si>
  <si>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</si>
  <si>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</si>
  <si>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</si>
  <si>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</si>
  <si>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</si>
  <si>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</si>
  <si>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</si>
  <si>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</si>
  <si>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</si>
  <si>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</si>
  <si>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</si>
  <si>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</si>
  <si>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</si>
  <si>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</si>
  <si>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</si>
  <si>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</si>
  <si>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</si>
  <si>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</si>
  <si>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</si>
  <si>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</si>
  <si>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</si>
  <si>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</si>
  <si>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</si>
  <si>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</si>
  <si>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</si>
  <si>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</si>
  <si>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</si>
  <si>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</si>
  <si>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</si>
  <si>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</si>
  <si>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</si>
  <si>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</si>
  <si>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</si>
  <si>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</si>
  <si>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</si>
  <si>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</si>
  <si>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</si>
  <si>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</si>
  <si>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</si>
  <si>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</si>
  <si>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</si>
  <si>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</si>
  <si>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</si>
  <si>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</si>
  <si>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</si>
  <si>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</si>
  <si>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</si>
  <si>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</si>
  <si>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</si>
  <si>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</si>
  <si>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</si>
  <si>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</si>
  <si>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</si>
  <si>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</si>
  <si>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</si>
  <si>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</si>
  <si>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</si>
  <si>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</si>
  <si>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</si>
  <si>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</si>
  <si>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</si>
  <si>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</si>
  <si>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</si>
  <si>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</si>
  <si>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</si>
  <si>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</si>
  <si>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</si>
  <si>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</si>
  <si>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</si>
  <si>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</si>
  <si>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</si>
  <si>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</si>
  <si>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</si>
  <si>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</si>
  <si>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</si>
  <si>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</si>
  <si>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</si>
  <si>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</si>
  <si>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</si>
  <si>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</si>
  <si>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</si>
  <si>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</si>
  <si>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</si>
  <si>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</si>
  <si>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</si>
  <si>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</si>
  <si>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</si>
  <si>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</si>
  <si>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</si>
  <si>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</si>
  <si>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</si>
  <si>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</si>
  <si>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</si>
  <si>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</si>
  <si>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</si>
  <si>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</si>
  <si>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</si>
  <si>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</si>
  <si>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</si>
  <si>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</si>
  <si>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</si>
  <si>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</si>
  <si>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</si>
  <si>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</si>
  <si>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</si>
  <si>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</si>
  <si>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</si>
  <si>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</si>
  <si>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</si>
  <si>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</si>
  <si>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</si>
  <si>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</si>
  <si>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</si>
  <si>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</si>
  <si>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</si>
  <si>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</si>
  <si>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</si>
  <si>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</si>
  <si>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</si>
  <si>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</si>
  <si>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</si>
  <si>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</si>
  <si>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</si>
  <si>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</si>
  <si>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</si>
  <si>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</si>
  <si>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</si>
  <si>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</si>
  <si>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</si>
  <si>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</si>
  <si>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</si>
  <si>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</si>
  <si>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</si>
  <si>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</si>
  <si>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</si>
  <si>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</si>
  <si>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</si>
  <si>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</si>
  <si>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</si>
  <si>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</si>
  <si>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</si>
  <si>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</si>
  <si>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</si>
  <si>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</si>
  <si>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</si>
  <si>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</si>
  <si>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</si>
  <si>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</si>
  <si>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</si>
  <si>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</si>
  <si>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</si>
  <si>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</si>
  <si>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</si>
  <si>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</si>
  <si>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</si>
  <si>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</si>
  <si>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</si>
  <si>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</si>
  <si>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</si>
  <si>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</si>
  <si>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</si>
  <si>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</si>
  <si>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</si>
  <si>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</si>
  <si>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</si>
  <si>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</si>
  <si>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</si>
  <si>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</si>
  <si>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</si>
  <si>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</si>
  <si>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</si>
  <si>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</si>
  <si>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</si>
  <si>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</si>
  <si>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</si>
  <si>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</si>
  <si>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</si>
  <si>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</si>
  <si>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</si>
  <si>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</si>
  <si>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</si>
  <si>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</si>
  <si>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</si>
  <si>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</si>
  <si>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</si>
  <si>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</si>
  <si>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</si>
  <si>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</si>
  <si>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</si>
  <si>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</si>
  <si>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</si>
  <si>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</si>
  <si>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</si>
  <si>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</si>
  <si>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</si>
  <si>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</si>
  <si>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</si>
  <si>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</si>
  <si>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</si>
  <si>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</si>
  <si>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</si>
  <si>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</si>
  <si>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</si>
  <si>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</si>
  <si>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</si>
  <si>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</si>
  <si>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</si>
  <si>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</si>
  <si>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</si>
  <si>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</si>
  <si>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</si>
  <si>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</si>
  <si>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</si>
  <si>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</si>
  <si>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</si>
  <si>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</si>
  <si>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</si>
  <si>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</si>
  <si>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</si>
  <si>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</si>
  <si>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</si>
  <si>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</si>
  <si>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</si>
  <si>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</si>
  <si>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</si>
  <si>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</si>
  <si>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</si>
  <si>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</si>
  <si>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</si>
  <si>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</si>
  <si>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</si>
  <si>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</si>
  <si>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</si>
  <si>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</si>
  <si>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</si>
  <si>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</si>
  <si>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</si>
  <si>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</si>
  <si>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</si>
  <si>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</si>
  <si>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</si>
  <si>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</si>
  <si>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</si>
  <si>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</si>
  <si>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</si>
  <si>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</si>
  <si>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</si>
  <si>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</si>
  <si>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</si>
  <si>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</si>
  <si>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</si>
  <si>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</si>
  <si>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</si>
  <si>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</si>
  <si>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</si>
  <si>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</si>
  <si>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</si>
  <si>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</si>
  <si>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</si>
  <si>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</si>
  <si>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</si>
  <si>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</si>
  <si>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</si>
  <si>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</si>
  <si>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</si>
  <si>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</si>
  <si>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</si>
  <si>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</si>
  <si>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</si>
  <si>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</si>
  <si>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</si>
  <si>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</si>
  <si>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</si>
  <si>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</si>
  <si>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</si>
  <si>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</si>
  <si>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</si>
  <si>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</si>
  <si>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</si>
  <si>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</si>
  <si>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</si>
  <si>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</si>
  <si>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</si>
  <si>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</si>
  <si>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</si>
  <si>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</si>
  <si>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</si>
  <si>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</si>
  <si>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</si>
  <si>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</si>
  <si>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</si>
  <si>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</si>
  <si>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</si>
  <si>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</si>
  <si>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</si>
  <si>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</si>
  <si>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</si>
  <si>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</si>
  <si>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</si>
  <si>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</si>
  <si>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</si>
  <si>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</si>
  <si>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</si>
  <si>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</si>
  <si>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</si>
  <si>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</si>
  <si>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</si>
  <si>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</si>
  <si>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</si>
  <si>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</si>
  <si>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</si>
  <si>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</si>
  <si>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</si>
  <si>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</si>
  <si>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</si>
  <si>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</si>
  <si>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</si>
  <si>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</si>
  <si>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</si>
  <si>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</si>
  <si>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</si>
  <si>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</si>
  <si>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</si>
  <si>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</si>
  <si>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</si>
  <si>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</si>
  <si>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</si>
  <si>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</si>
  <si>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</si>
  <si>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</si>
  <si>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</si>
  <si>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</si>
  <si>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</si>
  <si>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</si>
  <si>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</si>
  <si>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</si>
  <si>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</si>
  <si>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</si>
  <si>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</si>
  <si>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</si>
  <si>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</si>
  <si>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</si>
  <si>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</si>
  <si>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</si>
  <si>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</si>
  <si>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</si>
  <si>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</si>
  <si>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</si>
  <si>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</si>
  <si>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</si>
  <si>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</si>
  <si>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</si>
  <si>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</si>
  <si>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</si>
  <si>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</si>
  <si>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</si>
  <si>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</si>
  <si>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</si>
  <si>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</si>
  <si>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</si>
  <si>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</si>
  <si>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</si>
  <si>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</si>
  <si>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</si>
  <si>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</si>
  <si>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</si>
  <si>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</si>
  <si>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</si>
  <si>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</si>
  <si>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</si>
  <si>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</si>
  <si>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</si>
  <si>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</si>
  <si>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</si>
  <si>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</si>
  <si>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</si>
  <si>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</si>
  <si>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</si>
  <si>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</si>
  <si>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</si>
  <si>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</si>
  <si>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</si>
  <si>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</si>
  <si>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</si>
  <si>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</si>
  <si>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</si>
  <si>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</si>
  <si>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</si>
  <si>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</si>
  <si>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</si>
  <si>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</si>
  <si>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</si>
  <si>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</si>
  <si>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</si>
  <si>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</si>
  <si>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</si>
  <si>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</si>
  <si>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</si>
  <si>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</si>
  <si>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</si>
  <si>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</si>
  <si>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</si>
  <si>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</si>
  <si>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</si>
  <si>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</si>
  <si>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</si>
  <si>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</si>
  <si>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</si>
  <si>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</si>
  <si>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</si>
  <si>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</si>
  <si>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</si>
  <si>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</si>
  <si>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</si>
  <si>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</si>
  <si>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</si>
  <si>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</si>
  <si>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</si>
  <si>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</si>
  <si>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</si>
  <si>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</si>
  <si>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</si>
  <si>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</si>
  <si>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</si>
  <si>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</si>
  <si>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</si>
  <si>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</si>
  <si>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</si>
  <si>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</si>
  <si>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</si>
  <si>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</si>
  <si>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</si>
  <si>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</si>
  <si>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</si>
  <si>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</si>
  <si>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</si>
  <si>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</si>
  <si>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</si>
  <si>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</si>
  <si>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</si>
  <si>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</si>
  <si>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</si>
  <si>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</si>
  <si>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</si>
  <si>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</si>
  <si>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</si>
  <si>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</si>
  <si>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</si>
  <si>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</si>
  <si>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</si>
  <si>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</si>
  <si>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</si>
  <si>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</si>
  <si>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</si>
  <si>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</si>
  <si>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</si>
  <si>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</si>
  <si>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</si>
  <si>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</si>
  <si>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</si>
  <si>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</si>
  <si>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</si>
  <si>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</si>
  <si>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</si>
  <si>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</si>
  <si>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</si>
  <si>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</si>
  <si>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</si>
  <si>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</si>
  <si>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</si>
  <si>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</si>
  <si>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</si>
  <si>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</si>
  <si>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</si>
  <si>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</si>
  <si>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</si>
  <si>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</si>
  <si>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</si>
  <si>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</si>
  <si>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</si>
  <si>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</si>
  <si>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</si>
  <si>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</si>
  <si>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</si>
  <si>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</si>
  <si>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</si>
  <si>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</si>
  <si>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</si>
  <si>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</si>
  <si>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</si>
  <si>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</si>
  <si>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</si>
  <si>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</si>
  <si>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</si>
  <si>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</si>
  <si>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</si>
  <si>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</si>
  <si>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</si>
  <si>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</si>
  <si>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</si>
  <si>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</si>
  <si>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</si>
  <si>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</si>
  <si>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</si>
  <si>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</si>
  <si>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</si>
  <si>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</si>
  <si>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</si>
  <si>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</si>
  <si>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</si>
  <si>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</si>
  <si>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</si>
  <si>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</si>
  <si>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</si>
  <si>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</si>
  <si>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</si>
  <si>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</si>
  <si>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</si>
  <si>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</si>
  <si>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</si>
  <si>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</si>
  <si>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</si>
  <si>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</si>
  <si>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</si>
  <si>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</si>
  <si>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</si>
  <si>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</si>
  <si>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</si>
  <si>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</si>
  <si>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</si>
  <si>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</si>
  <si>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</si>
  <si>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</si>
  <si>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</si>
  <si>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</si>
  <si>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</si>
  <si>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</si>
  <si>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</si>
  <si>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</si>
  <si>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</si>
  <si>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</si>
  <si>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</si>
  <si>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</si>
  <si>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</si>
  <si>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</si>
  <si>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</si>
  <si>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</si>
  <si>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</si>
  <si>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</si>
  <si>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</si>
  <si>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</si>
  <si>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</si>
  <si>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</si>
  <si>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</si>
  <si>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</si>
  <si>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</si>
  <si>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</si>
  <si>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</si>
  <si>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</si>
  <si>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</si>
  <si>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</si>
  <si>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</si>
  <si>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</si>
  <si>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</si>
  <si>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</si>
  <si>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</si>
  <si>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</si>
  <si>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</si>
  <si>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</si>
  <si>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</si>
  <si>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</si>
  <si>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</si>
  <si>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</si>
  <si>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</si>
  <si>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</si>
  <si>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</si>
  <si>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</si>
  <si>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</si>
  <si>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</si>
  <si>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</si>
  <si>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</si>
  <si>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</si>
  <si>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</si>
  <si>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</si>
  <si>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</si>
  <si>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</si>
  <si>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</si>
  <si>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</si>
  <si>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</si>
  <si>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</si>
  <si>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</si>
  <si>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</si>
  <si>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</si>
  <si>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</si>
  <si>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</si>
  <si>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</si>
  <si>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</si>
  <si>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</si>
  <si>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</si>
  <si>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</si>
  <si>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</si>
  <si>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</si>
  <si>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</si>
  <si>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</si>
  <si>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</si>
  <si>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</si>
  <si>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</si>
  <si>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</si>
  <si>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</si>
  <si>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</si>
  <si>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</si>
  <si>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</si>
  <si>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</si>
  <si>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</si>
  <si>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</si>
  <si>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</si>
  <si>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</si>
  <si>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</si>
  <si>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</si>
  <si>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</si>
  <si>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</si>
  <si>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</si>
  <si>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</si>
  <si>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</si>
  <si>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</si>
  <si>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</si>
  <si>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</si>
  <si>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</si>
  <si>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</si>
  <si>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</si>
  <si>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</si>
  <si>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</si>
  <si>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</si>
  <si>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</si>
  <si>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</si>
  <si>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</si>
  <si>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</si>
  <si>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</si>
  <si>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</si>
  <si>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</si>
  <si>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</si>
  <si>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</si>
  <si>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</si>
  <si>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</si>
  <si>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</si>
  <si>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</si>
  <si>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</si>
  <si>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</si>
  <si>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</si>
  <si>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</si>
  <si>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</si>
  <si>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</si>
  <si>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</si>
  <si>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</si>
  <si>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</si>
  <si>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</si>
  <si>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</si>
  <si>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</si>
  <si>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</si>
  <si>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</si>
  <si>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</si>
  <si>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</si>
  <si>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</si>
  <si>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</si>
  <si>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</si>
  <si>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</si>
  <si>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</si>
  <si>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</si>
  <si>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</si>
  <si>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</si>
  <si>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</si>
  <si>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</si>
  <si>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</si>
  <si>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</si>
  <si>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</si>
  <si>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</si>
  <si>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</si>
  <si>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</si>
  <si>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</si>
  <si>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</si>
  <si>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</si>
  <si>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</si>
  <si>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</si>
  <si>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</si>
  <si>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</si>
  <si>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</si>
  <si>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</si>
  <si>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</si>
  <si>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</si>
  <si>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</si>
  <si>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</si>
  <si>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</si>
  <si>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</si>
  <si>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</si>
  <si>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</si>
  <si>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</si>
  <si>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</si>
  <si>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</si>
  <si>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</si>
  <si>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</si>
  <si>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</si>
  <si>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</si>
  <si>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</si>
  <si>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</si>
  <si>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</si>
  <si>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</si>
  <si>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</si>
  <si>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</si>
  <si>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</si>
  <si>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</si>
  <si>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</si>
  <si>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</si>
  <si>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</si>
  <si>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</si>
  <si>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</si>
  <si>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</si>
  <si>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</si>
  <si>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</si>
  <si>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</si>
  <si>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</si>
  <si>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</si>
  <si>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</si>
  <si>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</si>
  <si>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</si>
  <si>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</si>
  <si>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</si>
  <si>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</si>
  <si>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</si>
  <si>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</si>
  <si>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</si>
  <si>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</si>
  <si>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</si>
  <si>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</si>
  <si>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</si>
  <si>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</si>
  <si>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</si>
  <si>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</si>
  <si>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</si>
  <si>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</si>
  <si>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</si>
  <si>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</si>
  <si>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</si>
  <si>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</si>
  <si>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</si>
  <si>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</si>
  <si>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</si>
  <si>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</si>
  <si>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</si>
  <si>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</si>
  <si>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</si>
  <si>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</si>
  <si>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</si>
  <si>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</si>
  <si>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</si>
  <si>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</si>
  <si>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</si>
  <si>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</si>
  <si>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</si>
  <si>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</si>
  <si>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</si>
  <si>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</si>
  <si>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</si>
  <si>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</si>
  <si>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</si>
  <si>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</si>
  <si>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</si>
  <si>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</si>
  <si>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</si>
  <si>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</si>
  <si>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</si>
  <si>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</si>
  <si>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</si>
  <si>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</si>
  <si>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</si>
  <si>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</si>
  <si>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</si>
  <si>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</si>
  <si>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</si>
  <si>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</si>
  <si>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</si>
  <si>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</si>
  <si>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</si>
  <si>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</si>
  <si>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</si>
  <si>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</si>
  <si>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</si>
  <si>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</si>
  <si>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</si>
  <si>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</si>
  <si>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</si>
  <si>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</si>
  <si>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</si>
  <si>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</si>
  <si>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</si>
  <si>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</si>
  <si>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</si>
  <si>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</si>
  <si>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</si>
  <si>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</si>
  <si>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</si>
  <si>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</si>
  <si>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</si>
  <si>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</si>
  <si>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</si>
  <si>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</si>
  <si>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</si>
  <si>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</si>
  <si>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</si>
  <si>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</si>
  <si>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</si>
  <si>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</si>
  <si>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</si>
  <si>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</si>
  <si>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</si>
  <si>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</si>
  <si>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</si>
  <si>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</si>
  <si>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</si>
  <si>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</si>
  <si>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</si>
  <si>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</si>
  <si>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</si>
  <si>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</si>
  <si>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</si>
  <si>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</si>
  <si>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</si>
  <si>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</si>
  <si>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</si>
  <si>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</si>
  <si>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</si>
  <si>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</si>
  <si>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</si>
  <si>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</si>
  <si>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</si>
  <si>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</si>
  <si>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</si>
  <si>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</si>
  <si>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</si>
  <si>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</si>
  <si>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</si>
  <si>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</si>
  <si>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</si>
  <si>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</si>
  <si>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</si>
  <si>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</si>
  <si>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</si>
  <si>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</si>
  <si>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</si>
  <si>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</si>
  <si>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</si>
  <si>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</si>
  <si>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</si>
  <si>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</si>
  <si>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</si>
  <si>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</si>
  <si>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</si>
  <si>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</si>
  <si>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</si>
  <si>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</si>
  <si>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</si>
  <si>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</si>
  <si>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</si>
  <si>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</si>
  <si>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</si>
  <si>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</si>
  <si>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</si>
  <si>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</si>
  <si>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</si>
  <si>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</si>
  <si>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</si>
  <si>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</si>
  <si>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</si>
  <si>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</si>
  <si>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</si>
  <si>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</si>
  <si>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</si>
  <si>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</si>
  <si>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</si>
  <si>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</si>
  <si>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</si>
  <si>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</si>
  <si>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</si>
  <si>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</si>
  <si>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</si>
  <si>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</si>
  <si>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</si>
  <si>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</si>
  <si>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</si>
  <si>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</si>
  <si>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</si>
  <si>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</si>
  <si>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</si>
  <si>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</si>
  <si>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</si>
  <si>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</si>
  <si>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</si>
  <si>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</si>
  <si>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</si>
  <si>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</si>
  <si>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</si>
  <si>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</si>
  <si>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</si>
  <si>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</si>
  <si>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</si>
  <si>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</si>
  <si>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</si>
  <si>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</si>
  <si>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</si>
  <si>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</si>
  <si>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</si>
  <si>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</si>
  <si>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</si>
  <si>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</si>
  <si>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</si>
  <si>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</si>
  <si>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</si>
  <si>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</si>
  <si>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</si>
  <si>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</si>
  <si>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</si>
  <si>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</si>
  <si>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</si>
  <si>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</si>
  <si>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</si>
  <si>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</si>
  <si>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</si>
  <si>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</si>
  <si>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</si>
  <si>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</si>
  <si>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</si>
  <si>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</si>
  <si>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</si>
  <si>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</si>
  <si>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</si>
  <si>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</si>
  <si>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</si>
  <si>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</si>
  <si>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</si>
  <si>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</si>
  <si>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</si>
  <si>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</si>
  <si>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</si>
  <si>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</si>
  <si>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</si>
  <si>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</si>
  <si>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</si>
  <si>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</si>
  <si>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</si>
  <si>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</si>
  <si>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</si>
  <si>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</si>
  <si>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</si>
  <si>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</si>
  <si>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</si>
  <si>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</si>
  <si>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</si>
  <si>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</si>
  <si>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</si>
  <si>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</si>
  <si>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</si>
  <si>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</si>
  <si>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</si>
  <si>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</si>
  <si>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</si>
  <si>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</si>
  <si>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</si>
  <si>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</si>
  <si>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</si>
  <si>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</si>
  <si>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</si>
  <si>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</si>
  <si>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</si>
  <si>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</si>
  <si>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</si>
  <si>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</si>
  <si>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</si>
  <si>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</si>
  <si>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</si>
  <si>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</si>
  <si>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</si>
  <si>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</si>
  <si>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</si>
  <si>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</si>
  <si>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</si>
  <si>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</si>
  <si>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</si>
  <si>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</si>
  <si>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</si>
  <si>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</si>
  <si>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</si>
  <si>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</si>
  <si>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</si>
  <si>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</si>
  <si>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</si>
  <si>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</si>
  <si>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</si>
  <si>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</si>
  <si>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</si>
  <si>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</si>
  <si>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</si>
  <si>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</si>
  <si>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</si>
  <si>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</si>
  <si>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</si>
  <si>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</si>
  <si>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</si>
  <si>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</si>
  <si>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</si>
  <si>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</si>
  <si>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</si>
  <si>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</si>
  <si>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</si>
  <si>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</si>
  <si>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</si>
  <si>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</si>
  <si>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</si>
  <si>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</si>
  <si>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</si>
  <si>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</si>
  <si>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</si>
  <si>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</si>
  <si>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</si>
  <si>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</si>
  <si>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</si>
  <si>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</si>
  <si>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</si>
  <si>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</si>
  <si>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</si>
  <si>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</si>
  <si>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</si>
  <si>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</si>
  <si>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</si>
  <si>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</si>
  <si>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</si>
  <si>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</si>
  <si>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</si>
  <si>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</si>
  <si>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</si>
  <si>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</si>
  <si>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</si>
  <si>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</si>
  <si>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</si>
  <si>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</si>
  <si>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</si>
  <si>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</si>
  <si>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</si>
  <si>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</si>
  <si>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</si>
  <si>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</si>
  <si>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</si>
  <si>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</si>
  <si>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</si>
  <si>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</si>
  <si>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</si>
  <si>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</si>
  <si>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</si>
  <si>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</si>
  <si>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</si>
  <si>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</si>
  <si>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</si>
  <si>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</si>
  <si>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</si>
  <si>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</si>
  <si>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</si>
  <si>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</si>
  <si>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</si>
  <si>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</si>
  <si>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</si>
  <si>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</si>
  <si>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</si>
  <si>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</si>
  <si>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</si>
  <si>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</si>
  <si>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</si>
  <si>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</si>
  <si>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</si>
  <si>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</si>
  <si>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</si>
  <si>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</si>
  <si>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</si>
  <si>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</si>
  <si>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</si>
  <si>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</si>
  <si>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</si>
  <si>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</si>
  <si>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</si>
  <si>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</si>
  <si>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</si>
  <si>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</si>
  <si>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</si>
  <si>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</si>
  <si>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</si>
  <si>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</si>
  <si>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</si>
  <si>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</si>
  <si>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</si>
  <si>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</si>
  <si>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</si>
  <si>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</si>
  <si>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</si>
  <si>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</si>
  <si>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</si>
  <si>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</si>
  <si>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</si>
  <si>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</si>
  <si>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</si>
  <si>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</si>
  <si>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</si>
  <si>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</si>
  <si>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</si>
  <si>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</si>
  <si>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</si>
  <si>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</si>
  <si>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</si>
  <si>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</si>
  <si>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</si>
  <si>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</si>
  <si>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</si>
  <si>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</si>
  <si>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</si>
  <si>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</si>
  <si>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</si>
  <si>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</si>
  <si>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</si>
  <si>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</si>
  <si>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</si>
  <si>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</si>
  <si>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</si>
  <si>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</si>
  <si>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</si>
  <si>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</si>
  <si>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</si>
  <si>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</si>
  <si>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</si>
  <si>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</si>
  <si>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</si>
  <si>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</si>
  <si>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</si>
  <si>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</si>
  <si>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</si>
  <si>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</si>
  <si>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</si>
  <si>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</si>
  <si>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</si>
  <si>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</si>
  <si>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</si>
  <si>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</si>
  <si>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</si>
  <si>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</si>
  <si>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</si>
  <si>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</si>
  <si>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</si>
  <si>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</si>
  <si>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</si>
  <si>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</si>
  <si>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</si>
  <si>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</si>
  <si>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</si>
  <si>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</si>
  <si>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</si>
  <si>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</si>
  <si>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</si>
  <si>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</si>
  <si>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</si>
  <si>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</si>
  <si>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</si>
  <si>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</si>
  <si>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</si>
  <si>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</si>
  <si>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</si>
  <si>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</si>
  <si>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</si>
  <si>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</si>
  <si>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</si>
  <si>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</si>
  <si>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</si>
  <si>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</si>
  <si>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</si>
  <si>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</si>
  <si>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</si>
  <si>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</si>
  <si>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</si>
  <si>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</si>
  <si>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</si>
  <si>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</si>
  <si>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</si>
  <si>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</si>
  <si>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</si>
  <si>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</si>
  <si>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</si>
  <si>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</si>
  <si>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</si>
  <si>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</si>
  <si>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</si>
  <si>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</si>
  <si>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</si>
  <si>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</si>
  <si>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</si>
  <si>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</si>
  <si>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</si>
  <si>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</si>
  <si>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</si>
  <si>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</si>
  <si>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</si>
  <si>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</si>
  <si>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</si>
  <si>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</si>
  <si>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</si>
  <si>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</si>
  <si>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</si>
  <si>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</si>
  <si>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</si>
  <si>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</si>
  <si>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</si>
  <si>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</si>
  <si>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</si>
  <si>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</si>
  <si>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</si>
  <si>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</si>
  <si>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</si>
  <si>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</si>
  <si>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</si>
  <si>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</si>
  <si>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</si>
  <si>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</si>
  <si>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</si>
  <si>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</si>
  <si>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</si>
  <si>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</si>
  <si>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</si>
  <si>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</si>
  <si>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</si>
  <si>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</si>
  <si>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</si>
  <si>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</si>
  <si>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</si>
  <si>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</si>
  <si>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</si>
  <si>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</si>
  <si>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</si>
  <si>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</si>
  <si>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</si>
  <si>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</si>
  <si>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</si>
  <si>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</si>
  <si>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</si>
  <si>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</si>
  <si>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</si>
  <si>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</si>
  <si>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</si>
  <si>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</si>
  <si>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</si>
  <si>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</si>
  <si>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</si>
  <si>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</si>
  <si>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</si>
  <si>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</si>
  <si>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</si>
  <si>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</si>
  <si>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</si>
  <si>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</si>
  <si>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</si>
  <si>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</si>
  <si>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</si>
  <si>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</si>
  <si>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</si>
  <si>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</si>
  <si>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</si>
  <si>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</si>
  <si>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</si>
  <si>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</si>
  <si>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</si>
  <si>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</si>
  <si>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</si>
  <si>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</si>
  <si>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</si>
  <si>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</si>
  <si>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</si>
  <si>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</si>
  <si>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</si>
  <si>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</si>
  <si>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</si>
  <si>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</si>
  <si>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</si>
  <si>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</si>
  <si>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</si>
  <si>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</si>
  <si>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</si>
  <si>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</si>
  <si>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</si>
  <si>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</si>
  <si>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</si>
  <si>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</si>
  <si>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</si>
  <si>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</si>
  <si>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</si>
  <si>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</si>
  <si>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</si>
  <si>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</si>
  <si>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</si>
  <si>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</si>
  <si>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</si>
  <si>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</si>
  <si>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</si>
  <si>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</si>
  <si>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</si>
  <si>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</si>
  <si>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</si>
  <si>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</si>
  <si>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</si>
  <si>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</si>
  <si>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</si>
  <si>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</si>
  <si>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</si>
  <si>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</si>
  <si>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</si>
  <si>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</si>
  <si>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</si>
  <si>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</si>
  <si>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</si>
  <si>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</si>
  <si>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</si>
  <si>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</si>
  <si>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</si>
  <si>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</si>
  <si>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</si>
  <si>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</si>
  <si>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</si>
  <si>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</si>
  <si>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</si>
  <si>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</si>
  <si>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</si>
  <si>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</si>
  <si>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</si>
  <si>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</si>
  <si>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</si>
  <si>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</si>
  <si>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</si>
  <si>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</si>
  <si>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</si>
  <si>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</si>
  <si>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</si>
  <si>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</si>
  <si>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</si>
  <si>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</si>
  <si>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</si>
  <si>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</si>
  <si>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</si>
  <si>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</si>
  <si>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</si>
  <si>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</si>
  <si>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</si>
  <si>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</si>
  <si>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</si>
  <si>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</si>
  <si>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</si>
  <si>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</si>
  <si>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</si>
  <si>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</si>
  <si>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</si>
  <si>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</si>
  <si>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</si>
  <si>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</si>
  <si>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</si>
  <si>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</si>
  <si>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</si>
  <si>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</si>
  <si>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</si>
  <si>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</si>
  <si>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</si>
  <si>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</si>
  <si>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</si>
  <si>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</si>
  <si>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</si>
  <si>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</si>
  <si>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</si>
  <si>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</si>
  <si>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</si>
  <si>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</si>
  <si>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</si>
  <si>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</si>
  <si>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</si>
  <si>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</si>
  <si>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</si>
  <si>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</si>
  <si>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</si>
  <si>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</si>
  <si>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</si>
  <si>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</si>
  <si>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</si>
  <si>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</si>
  <si>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</si>
  <si>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</si>
  <si>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</si>
  <si>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</si>
  <si>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</si>
  <si>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</si>
  <si>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</si>
  <si>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</si>
  <si>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</si>
  <si>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</si>
  <si>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</si>
  <si>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</si>
  <si>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</si>
  <si>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</si>
  <si>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</si>
  <si>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</si>
  <si>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</si>
  <si>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</si>
  <si>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</si>
  <si>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</si>
  <si>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</si>
  <si>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</si>
  <si>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</si>
  <si>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</si>
  <si>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</si>
  <si>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</si>
  <si>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</si>
  <si>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</si>
  <si>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</si>
  <si>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</si>
  <si>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</si>
  <si>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</si>
  <si>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</si>
  <si>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</si>
  <si>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</si>
  <si>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</si>
  <si>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</si>
  <si>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</si>
  <si>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</si>
  <si>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</si>
  <si>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</si>
  <si>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</si>
  <si>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</si>
  <si>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</si>
  <si>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</si>
  <si>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</si>
  <si>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</si>
  <si>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</si>
  <si>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</si>
  <si>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</si>
  <si>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</si>
  <si>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</si>
  <si>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</si>
  <si>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</si>
  <si>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</si>
  <si>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</si>
  <si>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</si>
  <si>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</si>
  <si>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</si>
  <si>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</si>
  <si>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</si>
  <si>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</si>
  <si>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</si>
  <si>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</si>
  <si>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</si>
  <si>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</si>
  <si>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</si>
  <si>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</si>
  <si>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</si>
  <si>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</si>
  <si>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</si>
  <si>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</si>
  <si>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</si>
  <si>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</si>
  <si>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</si>
  <si>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</si>
  <si>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</si>
  <si>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</si>
  <si>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</si>
  <si>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</si>
  <si>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</si>
  <si>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</si>
  <si>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</si>
  <si>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</si>
  <si>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</si>
  <si>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</si>
  <si>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</si>
  <si>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</si>
  <si>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</si>
  <si>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</si>
  <si>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</si>
  <si>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</si>
  <si>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</si>
  <si>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</si>
  <si>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</si>
  <si>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</si>
  <si>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</si>
  <si>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</si>
  <si>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</si>
  <si>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</si>
  <si>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</si>
  <si>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</si>
  <si>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</si>
  <si>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</si>
  <si>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</si>
  <si>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</si>
  <si>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</si>
  <si>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</si>
  <si>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</si>
  <si>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</si>
  <si>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</si>
  <si>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</si>
  <si>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</si>
  <si>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</si>
  <si>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</si>
  <si>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</si>
  <si>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</si>
  <si>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</si>
  <si>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</si>
  <si>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</si>
  <si>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</si>
  <si>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</si>
  <si>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</si>
  <si>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</si>
  <si>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</si>
  <si>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</si>
  <si>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</si>
  <si>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</si>
  <si>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</si>
  <si>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</si>
  <si>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</si>
  <si>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</si>
  <si>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</si>
  <si>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</si>
  <si>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</si>
  <si>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</si>
  <si>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</si>
  <si>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</si>
  <si>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</si>
  <si>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</si>
  <si>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</si>
  <si>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</si>
  <si>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</si>
  <si>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</si>
  <si>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</si>
  <si>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</si>
  <si>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</si>
  <si>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</si>
  <si>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</si>
  <si>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</si>
  <si>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</si>
  <si>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</si>
  <si>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</si>
  <si>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</si>
  <si>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</si>
  <si>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</si>
  <si>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</si>
  <si>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</si>
  <si>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</si>
  <si>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</si>
  <si>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</si>
  <si>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</si>
  <si>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</si>
  <si>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</si>
  <si>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</si>
  <si>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</si>
  <si>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</si>
  <si>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</si>
  <si>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</si>
  <si>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</si>
  <si>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</si>
  <si>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</si>
  <si>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</si>
  <si>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</si>
  <si>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</si>
  <si>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</si>
  <si>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</si>
  <si>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</si>
  <si>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</si>
  <si>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</si>
  <si>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</si>
  <si>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</si>
  <si>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</si>
  <si>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</si>
  <si>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</si>
  <si>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</si>
  <si>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</si>
  <si>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</si>
  <si>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</si>
  <si>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</si>
  <si>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</si>
  <si>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</si>
  <si>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</si>
  <si>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</si>
  <si>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</si>
  <si>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</si>
  <si>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</si>
  <si>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</si>
  <si>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</si>
  <si>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</si>
  <si>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</si>
  <si>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</si>
  <si>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</si>
  <si>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</si>
  <si>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</si>
  <si>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</si>
  <si>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</si>
  <si>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</si>
  <si>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</si>
  <si>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</si>
  <si>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</si>
  <si>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</si>
  <si>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</si>
  <si>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</si>
  <si>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</si>
  <si>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</si>
  <si>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</si>
  <si>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</si>
  <si>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</si>
  <si>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</si>
  <si>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</si>
  <si>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</si>
  <si>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</si>
  <si>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</si>
  <si>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</si>
  <si>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</si>
  <si>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</si>
  <si>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</si>
  <si>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</si>
  <si>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</si>
  <si>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</si>
  <si>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</si>
  <si>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</si>
  <si>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</si>
  <si>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</si>
  <si>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</si>
  <si>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</si>
  <si>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</si>
  <si>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</si>
  <si>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</si>
  <si>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</si>
  <si>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</si>
  <si>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</si>
  <si>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</si>
  <si>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</si>
  <si>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</si>
  <si>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</si>
  <si>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</si>
  <si>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</si>
  <si>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</si>
  <si>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</si>
  <si>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</si>
  <si>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</si>
  <si>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</si>
  <si>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</si>
  <si>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</si>
  <si>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</si>
  <si>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</si>
  <si>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</si>
  <si>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</si>
  <si>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</si>
  <si>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</si>
  <si>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</si>
  <si>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</si>
  <si>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</si>
  <si>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</si>
  <si>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</si>
  <si>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</si>
  <si>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</si>
  <si>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</si>
  <si>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</si>
  <si>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</si>
  <si>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</si>
  <si>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</si>
  <si>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</si>
  <si>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</si>
  <si>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</si>
  <si>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</si>
  <si>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</si>
  <si>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</si>
  <si>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</si>
  <si>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</si>
  <si>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</si>
  <si>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</si>
  <si>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</si>
  <si>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</si>
  <si>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</si>
  <si>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</si>
  <si>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</si>
  <si>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</si>
  <si>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</si>
  <si>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</si>
  <si>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</si>
  <si>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</si>
  <si>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</si>
  <si>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</si>
  <si>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</si>
  <si>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</si>
  <si>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</si>
  <si>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</si>
  <si>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</si>
  <si>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</si>
  <si>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</si>
  <si>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</si>
  <si>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</si>
  <si>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</si>
  <si>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</si>
  <si>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</si>
  <si>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</si>
  <si>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</si>
  <si>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</si>
  <si>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</si>
  <si>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</si>
  <si>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</si>
  <si>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</si>
  <si>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</si>
  <si>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</si>
  <si>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</si>
  <si>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</si>
  <si>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</si>
  <si>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</si>
  <si>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</si>
  <si>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</si>
  <si>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</si>
  <si>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</si>
  <si>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</si>
  <si>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</si>
  <si>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</si>
  <si>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</si>
  <si>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</si>
  <si>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</si>
  <si>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</si>
  <si>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</si>
  <si>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</si>
  <si>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</si>
  <si>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</si>
  <si>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</si>
  <si>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</si>
  <si>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</si>
  <si>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</si>
  <si>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</si>
  <si>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</si>
  <si>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</si>
  <si>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</si>
  <si>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</si>
  <si>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</si>
  <si>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</si>
  <si>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</si>
  <si>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</si>
  <si>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</si>
  <si>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</si>
  <si>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</si>
  <si>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</si>
  <si>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</si>
  <si>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</si>
  <si>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</si>
  <si>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</si>
  <si>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</si>
  <si>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</si>
  <si>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</si>
  <si>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</si>
  <si>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</si>
  <si>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</si>
  <si>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</si>
  <si>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</si>
  <si>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</si>
  <si>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</si>
  <si>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</si>
  <si>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</si>
  <si>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</si>
  <si>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</si>
  <si>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</si>
  <si>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</si>
  <si>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</si>
  <si>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</si>
  <si>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</si>
  <si>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</si>
  <si>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</si>
  <si>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</si>
  <si>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</si>
  <si>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</si>
  <si>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</si>
  <si>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</si>
  <si>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</si>
  <si>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</si>
  <si>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</si>
  <si>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</si>
  <si>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</si>
  <si>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</si>
  <si>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</si>
  <si>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</si>
  <si>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</si>
  <si>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</si>
  <si>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</si>
  <si>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</si>
  <si>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</si>
  <si>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</si>
  <si>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</si>
  <si>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</si>
  <si>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</si>
  <si>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</si>
  <si>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</si>
  <si>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</si>
  <si>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</si>
  <si>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</si>
  <si>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</si>
  <si>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</si>
  <si>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</si>
  <si>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</si>
  <si>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</si>
  <si>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</si>
  <si>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</si>
  <si>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</si>
  <si>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</si>
  <si>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</si>
  <si>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</si>
  <si>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</si>
  <si>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</si>
  <si>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</si>
  <si>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</si>
  <si>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</si>
  <si>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</si>
  <si>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</si>
  <si>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</si>
  <si>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</si>
  <si>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</si>
  <si>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</si>
  <si>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</si>
  <si>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</si>
  <si>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</si>
  <si>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</si>
  <si>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</si>
  <si>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</si>
  <si>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</si>
  <si>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</si>
  <si>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</si>
  <si>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</si>
  <si>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</si>
  <si>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</si>
  <si>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</si>
  <si>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</si>
  <si>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</si>
  <si>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</si>
  <si>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</si>
  <si>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</si>
  <si>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</si>
  <si>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</si>
  <si>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</si>
  <si>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</si>
  <si>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</si>
  <si>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</si>
  <si>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</si>
  <si>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</si>
  <si>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</si>
  <si>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</si>
  <si>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</si>
  <si>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</si>
  <si>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</si>
  <si>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</si>
  <si>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</si>
  <si>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</si>
  <si>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</si>
  <si>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</si>
  <si>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</si>
  <si>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</si>
  <si>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</si>
  <si>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</si>
  <si>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</si>
  <si>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</si>
  <si>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</si>
  <si>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</si>
  <si>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</si>
  <si>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</si>
  <si>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</si>
  <si>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</si>
  <si>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</si>
  <si>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</si>
  <si>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</si>
  <si>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</si>
  <si>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</si>
  <si>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</si>
  <si>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</si>
  <si>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</si>
  <si>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</si>
  <si>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</si>
  <si>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</si>
  <si>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</si>
  <si>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</si>
  <si>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</si>
  <si>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</si>
  <si>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</si>
  <si>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</si>
  <si>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</si>
  <si>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</si>
  <si>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</si>
  <si>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</si>
  <si>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</si>
  <si>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</si>
  <si>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</si>
  <si>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</si>
  <si>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</si>
  <si>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</si>
  <si>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</si>
  <si>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</si>
  <si>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</si>
  <si>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</si>
  <si>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</si>
  <si>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</si>
  <si>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</si>
  <si>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</si>
  <si>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</si>
  <si>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</si>
  <si>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</si>
  <si>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</si>
  <si>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</si>
  <si>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</si>
  <si>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</si>
  <si>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</si>
  <si>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</si>
  <si>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</si>
  <si>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</si>
  <si>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</si>
  <si>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</si>
  <si>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</si>
  <si>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</si>
  <si>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</si>
  <si>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</si>
  <si>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</si>
  <si>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</si>
  <si>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</si>
  <si>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</si>
  <si>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</si>
  <si>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</si>
  <si>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</si>
  <si>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</si>
  <si>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</si>
  <si>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</si>
  <si>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</si>
  <si>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</si>
  <si>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</si>
  <si>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</si>
  <si>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</si>
  <si>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</si>
  <si>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</si>
  <si>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</si>
  <si>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</si>
  <si>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</si>
  <si>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</si>
  <si>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</si>
  <si>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</si>
  <si>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</si>
  <si>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</si>
  <si>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</si>
  <si>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</si>
  <si>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</si>
  <si>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</si>
  <si>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</si>
  <si>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</si>
  <si>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</si>
  <si>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</si>
  <si>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</si>
  <si>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</si>
  <si>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</si>
  <si>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</si>
  <si>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</si>
  <si>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</si>
  <si>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</si>
  <si>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</si>
  <si>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</si>
  <si>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</si>
  <si>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</si>
  <si>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</si>
  <si>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</si>
  <si>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</si>
  <si>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</si>
  <si>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</si>
  <si>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</si>
  <si>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</si>
  <si>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</si>
  <si>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</si>
  <si>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</si>
  <si>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</si>
  <si>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</si>
  <si>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</si>
  <si>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</si>
  <si>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</si>
  <si>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</si>
  <si>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</si>
  <si>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</si>
  <si>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</si>
  <si>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</si>
  <si>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</si>
  <si>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</si>
  <si>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</si>
  <si>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</si>
  <si>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</si>
  <si>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</si>
  <si>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</si>
  <si>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</si>
  <si>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</si>
  <si>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</si>
  <si>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</si>
  <si>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</si>
  <si>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</si>
  <si>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</si>
  <si>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</si>
  <si>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</si>
  <si>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</si>
  <si>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</si>
  <si>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</si>
  <si>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</si>
  <si>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</si>
  <si>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</si>
  <si>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</si>
  <si>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</si>
  <si>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</si>
  <si>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</si>
  <si>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</si>
  <si>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</si>
  <si>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</si>
  <si>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</si>
  <si>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</si>
  <si>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</si>
  <si>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</si>
  <si>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</si>
  <si>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</si>
  <si>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</si>
  <si>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</si>
  <si>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</si>
  <si>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</si>
  <si>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</si>
  <si>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</si>
  <si>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</si>
  <si>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</si>
  <si>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</si>
  <si>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</si>
  <si>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</si>
  <si>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</si>
  <si>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</si>
  <si>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</si>
  <si>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</si>
  <si>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</si>
  <si>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</si>
  <si>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</si>
  <si>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</si>
  <si>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</si>
  <si>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</si>
  <si>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</si>
  <si>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</si>
  <si>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</si>
  <si>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</si>
  <si>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</si>
  <si>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</si>
  <si>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</si>
  <si>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</si>
  <si>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</si>
  <si>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</si>
  <si>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</si>
  <si>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</si>
  <si>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</si>
  <si>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</si>
  <si>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</si>
  <si>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</si>
  <si>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</si>
  <si>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</si>
  <si>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</si>
  <si>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</si>
  <si>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</si>
  <si>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</si>
  <si>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</si>
  <si>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</si>
  <si>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</si>
  <si>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</si>
  <si>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</si>
  <si>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</si>
  <si>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</si>
  <si>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</si>
  <si>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</si>
  <si>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</si>
  <si>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</si>
  <si>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</si>
  <si>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</si>
  <si>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</si>
  <si>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</si>
  <si>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</si>
  <si>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</si>
  <si>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</si>
  <si>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</si>
  <si>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</si>
  <si>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</si>
  <si>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</si>
  <si>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</si>
  <si>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</si>
  <si>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</si>
  <si>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</si>
  <si>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</si>
  <si>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</si>
  <si>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</si>
  <si>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</si>
  <si>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</si>
  <si>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</si>
  <si>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</si>
  <si>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</si>
  <si>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</si>
  <si>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</si>
  <si>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</si>
  <si>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</si>
  <si>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</si>
  <si>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</si>
  <si>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</si>
  <si>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</si>
  <si>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</si>
  <si>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</si>
  <si>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</si>
  <si>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</si>
  <si>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</si>
  <si>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</si>
  <si>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</si>
  <si>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</si>
  <si>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</si>
  <si>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</si>
  <si>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</si>
  <si>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</si>
  <si>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</si>
  <si>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</si>
  <si>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</si>
  <si>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</si>
  <si>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</si>
  <si>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</si>
  <si>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</si>
  <si>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</si>
  <si>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</si>
  <si>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</si>
  <si>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</si>
  <si>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</si>
  <si>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</si>
  <si>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</si>
  <si>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</si>
  <si>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</si>
  <si>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</si>
  <si>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</si>
  <si>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</si>
  <si>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</si>
  <si>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</si>
  <si>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</si>
  <si>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</si>
  <si>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</si>
  <si>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</si>
  <si>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</si>
  <si>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</si>
  <si>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</si>
  <si>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</si>
  <si>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</si>
  <si>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</si>
  <si>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</si>
  <si>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</si>
  <si>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</si>
  <si>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</si>
  <si>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</si>
  <si>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</si>
  <si>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</si>
  <si>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</si>
  <si>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</si>
  <si>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</si>
  <si>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</si>
  <si>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</si>
  <si>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</si>
  <si>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</si>
  <si>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</si>
  <si>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</si>
  <si>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</si>
  <si>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</si>
  <si>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</si>
  <si>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</si>
  <si>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</si>
  <si>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</si>
  <si>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</si>
  <si>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</si>
  <si>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</si>
  <si>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</si>
  <si>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</si>
  <si>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</si>
  <si>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</si>
  <si>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</si>
  <si>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</si>
  <si>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</si>
  <si>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</si>
  <si>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</si>
  <si>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</si>
  <si>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</si>
  <si>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</si>
  <si>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</si>
  <si>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</si>
  <si>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</si>
  <si>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</si>
  <si>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</si>
  <si>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</si>
  <si>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</si>
  <si>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</si>
  <si>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</si>
  <si>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</si>
  <si>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</si>
  <si>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</si>
  <si>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</si>
  <si>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</si>
  <si>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</si>
  <si>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</si>
  <si>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</si>
  <si>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</si>
  <si>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</si>
  <si>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</si>
  <si>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</si>
  <si>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</si>
  <si>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</si>
  <si>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</si>
  <si>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</si>
  <si>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</si>
  <si>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</si>
  <si>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</si>
  <si>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</si>
  <si>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</si>
  <si>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</si>
  <si>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</si>
  <si>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</si>
  <si>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</si>
  <si>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</si>
  <si>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</si>
  <si>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</si>
  <si>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</si>
  <si>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</si>
  <si>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</si>
  <si>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</si>
  <si>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</si>
  <si>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</si>
  <si>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</si>
  <si>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</si>
  <si>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</si>
  <si>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</si>
  <si>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</si>
  <si>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</si>
  <si>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</si>
  <si>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</si>
  <si>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</si>
  <si>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</si>
  <si>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</si>
  <si>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</si>
  <si>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</si>
  <si>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</si>
  <si>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</si>
  <si>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</si>
  <si>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</si>
  <si>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</si>
  <si>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</si>
  <si>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</si>
  <si>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</si>
  <si>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</si>
  <si>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</si>
  <si>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</si>
  <si>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</si>
  <si>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</si>
  <si>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</si>
  <si>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</si>
  <si>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</si>
  <si>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</si>
  <si>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</si>
  <si>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</si>
  <si>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</si>
  <si>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</si>
  <si>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</si>
  <si>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</si>
  <si>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</si>
  <si>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</si>
  <si>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</si>
  <si>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</si>
  <si>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</si>
  <si>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</si>
  <si>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</si>
  <si>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</si>
  <si>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</si>
  <si>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</si>
  <si>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</si>
  <si>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</si>
  <si>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</si>
  <si>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</si>
  <si>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</si>
  <si>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</si>
  <si>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</si>
  <si>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</si>
  <si>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</si>
  <si>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</si>
  <si>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</si>
  <si>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</si>
  <si>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</si>
  <si>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</si>
  <si>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</si>
  <si>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</si>
  <si>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</si>
  <si>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</si>
  <si>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</si>
  <si>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</si>
  <si>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</si>
  <si>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</si>
  <si>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</si>
  <si>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</si>
  <si>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</si>
  <si>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</si>
  <si>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</si>
  <si>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</si>
  <si>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</si>
  <si>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</si>
  <si>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</si>
  <si>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</si>
  <si>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</si>
  <si>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</si>
  <si>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</si>
  <si>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</si>
  <si>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</si>
  <si>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</si>
  <si>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</si>
  <si>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</si>
  <si>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</si>
  <si>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</si>
  <si>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</si>
  <si>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</si>
  <si>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</si>
  <si>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</si>
  <si>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</si>
  <si>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</si>
  <si>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</si>
  <si>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</si>
  <si>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</si>
  <si>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</si>
  <si>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</si>
  <si>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</si>
  <si>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</si>
  <si>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</si>
  <si>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</si>
  <si>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</si>
  <si>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</si>
  <si>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</si>
  <si>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</si>
  <si>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</si>
  <si>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</si>
  <si>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</si>
  <si>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</si>
  <si>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</si>
  <si>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</si>
  <si>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</si>
  <si>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</si>
  <si>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</si>
  <si>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</si>
  <si>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</si>
  <si>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</si>
  <si>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</si>
  <si>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</si>
  <si>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</si>
  <si>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</si>
  <si>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</si>
  <si>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</si>
  <si>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</si>
  <si>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</si>
  <si>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</si>
  <si>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</si>
  <si>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</si>
  <si>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</si>
  <si>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</si>
  <si>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</si>
  <si>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</si>
  <si>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</si>
  <si>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</si>
  <si>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</si>
  <si>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</si>
  <si>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</si>
  <si>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</si>
  <si>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</si>
  <si>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</si>
  <si>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</si>
  <si>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</si>
  <si>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</si>
  <si>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</si>
  <si>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</si>
  <si>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</si>
  <si>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</si>
  <si>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</si>
  <si>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</si>
  <si>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</si>
  <si>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</si>
  <si>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</si>
  <si>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</si>
  <si>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</si>
  <si>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</si>
  <si>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</si>
  <si>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</si>
  <si>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</si>
  <si>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</si>
  <si>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</si>
  <si>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</si>
  <si>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</si>
  <si>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</si>
  <si>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</si>
  <si>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</si>
  <si>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</si>
  <si>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</si>
  <si>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</si>
  <si>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</si>
  <si>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</si>
  <si>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</si>
  <si>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</si>
  <si>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</si>
  <si>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</si>
  <si>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</si>
  <si>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</si>
  <si>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</si>
  <si>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</si>
  <si>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</si>
  <si>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</si>
  <si>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</si>
  <si>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</si>
  <si>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</si>
  <si>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</si>
  <si>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</si>
  <si>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</si>
  <si>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</si>
  <si>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</si>
  <si>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</si>
  <si>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</si>
  <si>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</si>
  <si>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</si>
  <si>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</si>
  <si>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</si>
  <si>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</si>
  <si>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</si>
  <si>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</si>
  <si>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</si>
  <si>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</si>
  <si>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</si>
  <si>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</si>
  <si>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</si>
  <si>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</si>
  <si>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</si>
  <si>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</si>
  <si>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</si>
  <si>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</si>
  <si>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</si>
  <si>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</si>
  <si>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</si>
  <si>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</si>
  <si>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</si>
  <si>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</si>
  <si>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</si>
  <si>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</si>
  <si>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</si>
  <si>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</si>
  <si>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</si>
  <si>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</si>
  <si>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</si>
  <si>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</si>
  <si>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</si>
  <si>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</si>
  <si>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</si>
  <si>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</si>
  <si>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</si>
  <si>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</si>
  <si>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</si>
  <si>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</si>
  <si>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</si>
  <si>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</si>
  <si>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</si>
  <si>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</si>
  <si>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</si>
  <si>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</si>
  <si>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</si>
  <si>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</si>
  <si>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</si>
  <si>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</si>
  <si>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</si>
  <si>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</si>
  <si>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</si>
  <si>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</si>
  <si>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</si>
  <si>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</si>
  <si>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</si>
  <si>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</si>
  <si>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</si>
  <si>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</si>
  <si>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</si>
  <si>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</si>
  <si>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</si>
  <si>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</si>
  <si>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</si>
  <si>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</si>
  <si>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</si>
  <si>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</si>
  <si>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</si>
  <si>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</si>
  <si>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</si>
  <si>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</si>
  <si>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</si>
  <si>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</si>
  <si>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</si>
  <si>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</si>
  <si>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</si>
  <si>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</si>
  <si>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</si>
  <si>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</si>
  <si>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</si>
  <si>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</si>
  <si>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</si>
  <si>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</si>
  <si>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</si>
  <si>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</si>
  <si>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</si>
  <si>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</si>
  <si>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</si>
  <si>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</si>
  <si>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</si>
  <si>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</si>
  <si>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</si>
  <si>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</si>
  <si>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</si>
  <si>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</si>
  <si>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</si>
  <si>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</si>
  <si>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</si>
  <si>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</si>
  <si>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</si>
  <si>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</si>
  <si>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</si>
  <si>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</si>
  <si>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</si>
  <si>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</si>
  <si>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</si>
  <si>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</si>
  <si>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</si>
  <si>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</si>
  <si>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</si>
  <si>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</si>
  <si>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</si>
  <si>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</si>
  <si>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</si>
  <si>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</si>
  <si>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</si>
  <si>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</si>
  <si>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</si>
  <si>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</si>
  <si>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</si>
  <si>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</si>
  <si>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</si>
  <si>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</si>
  <si>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</si>
  <si>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</si>
  <si>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</si>
  <si>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</si>
  <si>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</si>
  <si>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</si>
  <si>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</si>
  <si>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</si>
  <si>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</si>
  <si>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</si>
  <si>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</si>
  <si>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</si>
  <si>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</si>
  <si>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</si>
  <si>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</si>
  <si>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</si>
  <si>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</si>
  <si>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</si>
  <si>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</si>
  <si>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</si>
  <si>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</si>
  <si>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</si>
  <si>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</si>
  <si>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</si>
  <si>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</si>
  <si>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</si>
  <si>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</si>
  <si>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</si>
  <si>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</si>
  <si>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</si>
  <si>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</si>
  <si>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</si>
  <si>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</si>
  <si>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</si>
  <si>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</si>
  <si>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</si>
  <si>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</si>
  <si>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</si>
  <si>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</si>
  <si>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</si>
  <si>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</si>
  <si>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</si>
  <si>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</si>
  <si>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</si>
  <si>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</si>
  <si>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</si>
  <si>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</si>
  <si>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</si>
  <si>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</si>
  <si>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</si>
  <si>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</si>
  <si>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</si>
  <si>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</si>
  <si>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</si>
  <si>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</si>
  <si>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</si>
  <si>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</si>
  <si>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</si>
  <si>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</si>
  <si>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</si>
  <si>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</si>
  <si>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</si>
  <si>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</si>
  <si>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</si>
  <si>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</si>
  <si>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</si>
  <si>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</si>
  <si>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</si>
  <si>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</si>
  <si>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</si>
  <si>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</si>
  <si>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</si>
  <si>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</si>
  <si>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</si>
  <si>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</si>
  <si>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</si>
  <si>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</si>
  <si>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</si>
  <si>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</si>
  <si>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</si>
  <si>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</si>
  <si>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</si>
  <si>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</si>
  <si>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</si>
  <si>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</si>
  <si>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</si>
  <si>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</si>
  <si>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</si>
  <si>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</si>
  <si>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</si>
  <si>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</si>
  <si>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</si>
  <si>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</si>
  <si>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</si>
  <si>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</si>
  <si>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</si>
  <si>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</si>
  <si>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</si>
  <si>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</si>
  <si>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</si>
  <si>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</si>
  <si>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</si>
  <si>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</si>
  <si>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</si>
  <si>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</si>
  <si>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</si>
  <si>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</si>
  <si>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</si>
  <si>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</si>
  <si>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</si>
  <si>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</si>
  <si>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</si>
  <si>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</si>
  <si>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</si>
  <si>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</si>
  <si>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</si>
  <si>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</si>
  <si>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</si>
  <si>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</si>
  <si>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</si>
  <si>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</si>
  <si>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</si>
  <si>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</si>
  <si>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</si>
  <si>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</si>
  <si>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</si>
  <si>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</si>
  <si>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</si>
  <si>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</si>
  <si>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</si>
  <si>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</si>
  <si>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</si>
  <si>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</si>
  <si>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</si>
  <si>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</si>
  <si>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</si>
  <si>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</si>
  <si>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</si>
  <si>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</si>
  <si>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</si>
  <si>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</si>
  <si>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</si>
  <si>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</si>
  <si>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</si>
  <si>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</si>
  <si>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</si>
  <si>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</si>
  <si>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</si>
  <si>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</si>
  <si>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</si>
  <si>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</si>
  <si>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</si>
  <si>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</si>
  <si>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</si>
  <si>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</si>
  <si>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</si>
  <si>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</si>
  <si>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</si>
  <si>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</si>
  <si>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</si>
  <si>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</si>
  <si>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</si>
  <si>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</si>
  <si>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</si>
  <si>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</si>
  <si>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</si>
  <si>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</si>
  <si>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</si>
  <si>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</si>
  <si>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</si>
  <si>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</si>
  <si>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</si>
  <si>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</si>
  <si>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</si>
  <si>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</si>
  <si>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</si>
  <si>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</si>
  <si>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</si>
  <si>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</si>
  <si>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</si>
  <si>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</si>
  <si>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</si>
  <si>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</si>
  <si>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</si>
  <si>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</si>
  <si>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</si>
  <si>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</si>
  <si>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</si>
  <si>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</si>
  <si>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</si>
  <si>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</si>
  <si>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</si>
  <si>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</si>
  <si>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</si>
  <si>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</si>
  <si>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</si>
  <si>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</si>
  <si>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</si>
  <si>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</si>
  <si>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</si>
  <si>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</si>
  <si>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</si>
  <si>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</si>
  <si>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</si>
  <si>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</si>
  <si>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</si>
  <si>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</si>
  <si>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</si>
  <si>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</si>
  <si>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</si>
  <si>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</si>
  <si>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</si>
  <si>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</si>
  <si>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</si>
  <si>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</si>
  <si>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</si>
  <si>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</si>
  <si>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</si>
  <si>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</si>
  <si>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</si>
  <si>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</si>
  <si>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</si>
  <si>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</si>
  <si>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</si>
  <si>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</si>
  <si>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</si>
  <si>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</si>
  <si>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</si>
  <si>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</si>
  <si>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</si>
  <si>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</si>
  <si>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</si>
  <si>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</si>
  <si>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</si>
  <si>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</si>
  <si>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</si>
  <si>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</si>
  <si>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</si>
  <si>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</si>
  <si>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</si>
  <si>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</si>
  <si>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</si>
  <si>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</si>
  <si>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</si>
  <si>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</si>
  <si>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</si>
  <si>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</si>
  <si>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</si>
  <si>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</si>
  <si>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</si>
  <si>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</si>
  <si>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</si>
  <si>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</si>
  <si>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</si>
  <si>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</si>
  <si>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</si>
  <si>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</si>
  <si>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</si>
  <si>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</si>
  <si>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</si>
  <si>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</si>
  <si>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</si>
  <si>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</si>
  <si>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</si>
  <si>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</si>
  <si>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</si>
  <si>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</si>
  <si>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</si>
  <si>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</si>
  <si>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</si>
  <si>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</si>
  <si>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</si>
  <si>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</si>
  <si>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</si>
  <si>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</si>
  <si>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</si>
  <si>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</si>
  <si>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</si>
  <si>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</si>
  <si>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</si>
  <si>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</si>
  <si>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</si>
  <si>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</si>
  <si>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</si>
  <si>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</si>
  <si>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</si>
  <si>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</si>
  <si>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</si>
  <si>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</si>
  <si>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</si>
  <si>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</si>
  <si>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</si>
  <si>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</si>
  <si>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</si>
  <si>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</si>
  <si>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</si>
  <si>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</si>
  <si>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</si>
  <si>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</si>
  <si>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</si>
  <si>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</si>
  <si>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</si>
  <si>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</si>
  <si>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</si>
  <si>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</si>
  <si>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</si>
  <si>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</si>
  <si>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</si>
  <si>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</si>
  <si>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</si>
  <si>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</si>
  <si>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</si>
  <si>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</si>
  <si>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</si>
  <si>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</si>
  <si>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</si>
  <si>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</si>
  <si>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</si>
  <si>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</si>
  <si>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</si>
  <si>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</si>
  <si>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</si>
  <si>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</si>
  <si>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</si>
  <si>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</si>
  <si>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</si>
  <si>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</si>
  <si>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</si>
  <si>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</si>
  <si>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</si>
  <si>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</si>
  <si>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</si>
  <si>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</si>
  <si>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</si>
  <si>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</si>
  <si>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</si>
  <si>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</si>
  <si>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</si>
  <si>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</si>
  <si>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</si>
  <si>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</si>
  <si>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</si>
  <si>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</si>
  <si>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</si>
  <si>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</si>
  <si>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</si>
  <si>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</si>
  <si>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</si>
  <si>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</si>
  <si>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</si>
  <si>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</si>
  <si>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</si>
  <si>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</si>
  <si>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</si>
  <si>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</si>
  <si>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</si>
  <si>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</si>
  <si>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</si>
  <si>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</si>
  <si>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</si>
  <si>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</si>
  <si>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</si>
  <si>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</si>
  <si>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</si>
  <si>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</si>
  <si>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</si>
  <si>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</si>
  <si>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</si>
  <si>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</si>
  <si>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</si>
  <si>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</si>
  <si>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</si>
  <si>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</si>
  <si>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</si>
  <si>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</si>
  <si>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</si>
  <si>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</si>
  <si>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</si>
  <si>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</si>
  <si>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</si>
  <si>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</si>
  <si>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</si>
  <si>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</si>
  <si>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</si>
  <si>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</si>
  <si>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</si>
  <si>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</si>
  <si>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</si>
  <si>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</si>
  <si>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</si>
  <si>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</si>
  <si>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</si>
  <si>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</si>
  <si>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</si>
  <si>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</si>
  <si>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</si>
  <si>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</si>
  <si>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</si>
  <si>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</si>
  <si>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</si>
  <si>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</si>
  <si>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</si>
  <si>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</si>
  <si>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</si>
  <si>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</si>
  <si>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</si>
  <si>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</si>
  <si>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</si>
  <si>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</si>
  <si>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</si>
  <si>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</si>
  <si>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</si>
  <si>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</si>
  <si>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</si>
  <si>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</si>
  <si>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</si>
  <si>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</si>
  <si>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</si>
  <si>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</si>
  <si>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</si>
  <si>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</si>
  <si>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</si>
  <si>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</si>
  <si>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</si>
  <si>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</si>
  <si>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</si>
  <si>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</si>
  <si>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</si>
  <si>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</si>
  <si>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</si>
  <si>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</si>
  <si>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</si>
  <si>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</si>
  <si>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</si>
  <si>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</si>
  <si>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</si>
  <si>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</si>
  <si>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</si>
  <si>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</si>
  <si>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</si>
  <si>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</si>
  <si>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</si>
  <si>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</si>
  <si>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</si>
  <si>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</si>
  <si>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</si>
  <si>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</si>
  <si>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</si>
  <si>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</si>
  <si>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</si>
  <si>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</si>
  <si>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</si>
  <si>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</si>
  <si>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</si>
  <si>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</si>
  <si>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</si>
  <si>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</si>
  <si>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</si>
  <si>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</si>
  <si>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</si>
  <si>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</si>
  <si>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</si>
  <si>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</si>
  <si>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</si>
  <si>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</si>
  <si>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</si>
  <si>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</si>
  <si>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</si>
  <si>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</si>
  <si>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</si>
  <si>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</si>
  <si>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</si>
  <si>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</si>
  <si>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</si>
  <si>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</si>
  <si>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</si>
  <si>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</si>
  <si>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</si>
  <si>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</si>
  <si>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</si>
  <si>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</si>
  <si>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</si>
  <si>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</si>
  <si>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</si>
  <si>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</si>
  <si>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</si>
  <si>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</si>
  <si>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</si>
  <si>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</si>
  <si>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</si>
  <si>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</si>
  <si>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</si>
  <si>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</si>
  <si>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</si>
  <si>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</si>
  <si>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</si>
  <si>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</si>
  <si>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</si>
  <si>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</si>
  <si>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</si>
  <si>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</si>
  <si>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</si>
  <si>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</si>
  <si>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</si>
  <si>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</si>
  <si>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</si>
  <si>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</si>
  <si>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</si>
  <si>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</si>
  <si>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</si>
  <si>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</si>
  <si>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</si>
  <si>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</si>
  <si>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</si>
  <si>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</si>
  <si>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</si>
  <si>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</si>
  <si>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</si>
  <si>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</si>
  <si>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</si>
  <si>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</si>
  <si>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</si>
  <si>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</si>
  <si>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</si>
  <si>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</si>
  <si>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</si>
  <si>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</si>
  <si>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</si>
  <si>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</si>
  <si>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</si>
  <si>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</si>
  <si>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</si>
  <si>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</si>
  <si>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</si>
  <si>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</si>
  <si>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</si>
  <si>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</si>
  <si>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</si>
  <si>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</si>
  <si>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</si>
  <si>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</si>
  <si>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</si>
  <si>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</si>
  <si>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</si>
  <si>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</si>
  <si>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</si>
  <si>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</si>
  <si>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</si>
  <si>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</si>
  <si>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</si>
  <si>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</si>
  <si>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</si>
  <si>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</si>
  <si>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</si>
  <si>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</si>
  <si>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</si>
  <si>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</si>
  <si>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</si>
  <si>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</si>
  <si>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</si>
  <si>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</si>
  <si>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</si>
  <si>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</si>
  <si>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</si>
  <si>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</si>
  <si>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</si>
  <si>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</si>
  <si>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</si>
  <si>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</si>
  <si>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</si>
  <si>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</si>
  <si>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</si>
  <si>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</si>
  <si>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</si>
  <si>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</si>
  <si>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</si>
  <si>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</si>
  <si>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</si>
  <si>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</si>
  <si>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</si>
  <si>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</si>
  <si>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</si>
  <si>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</si>
  <si>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</si>
  <si>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</si>
  <si>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</si>
  <si>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</si>
  <si>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</si>
  <si>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</si>
  <si>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</si>
  <si>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</si>
  <si>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</si>
  <si>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</si>
  <si>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</si>
  <si>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</si>
  <si>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</si>
  <si>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</si>
  <si>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</si>
  <si>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</si>
  <si>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</si>
  <si>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</si>
  <si>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</si>
  <si>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</si>
  <si>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</si>
  <si>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</si>
  <si>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</si>
  <si>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</si>
  <si>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</si>
  <si>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</si>
  <si>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</si>
  <si>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</si>
  <si>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</si>
  <si>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</si>
  <si>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</si>
  <si>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</si>
  <si>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</si>
  <si>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</si>
  <si>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</si>
  <si>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</si>
  <si>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</si>
  <si>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</si>
  <si>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</si>
  <si>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</si>
  <si>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</si>
  <si>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</si>
  <si>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</si>
  <si>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</si>
  <si>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</si>
  <si>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</si>
  <si>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</si>
  <si>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</si>
  <si>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</si>
  <si>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</si>
  <si>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</si>
  <si>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</si>
  <si>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</si>
  <si>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</si>
  <si>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</si>
  <si>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</si>
  <si>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</si>
  <si>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</si>
  <si>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</si>
  <si>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</si>
  <si>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</si>
  <si>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</si>
  <si>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</si>
  <si>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</si>
  <si>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</si>
  <si>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</si>
  <si>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</si>
  <si>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</si>
  <si>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</si>
  <si>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</si>
  <si>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</si>
  <si>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</si>
  <si>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</si>
  <si>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</si>
  <si>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</si>
  <si>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</si>
  <si>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</si>
  <si>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</si>
  <si>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</si>
  <si>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</si>
  <si>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</si>
  <si>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</si>
  <si>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</si>
  <si>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</si>
  <si>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</si>
  <si>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</si>
  <si>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</si>
  <si>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</si>
  <si>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</si>
  <si>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</si>
  <si>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</si>
  <si>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</si>
  <si>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</si>
  <si>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</si>
  <si>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</si>
  <si>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</si>
  <si>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</si>
  <si>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</si>
  <si>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</si>
  <si>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</si>
  <si>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</si>
  <si>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</si>
  <si>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</si>
  <si>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</si>
  <si>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</si>
  <si>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</si>
  <si>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</si>
  <si>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</si>
  <si>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</si>
  <si>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</si>
  <si>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</si>
  <si>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</si>
  <si>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</si>
  <si>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</si>
  <si>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</si>
  <si>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</si>
  <si>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</si>
  <si>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</si>
  <si>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</si>
  <si>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</si>
  <si>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</si>
  <si>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</si>
  <si>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</si>
  <si>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</si>
  <si>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</si>
  <si>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</si>
  <si>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</si>
  <si>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</si>
  <si>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</si>
  <si>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</si>
  <si>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</si>
  <si>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</si>
  <si>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</si>
  <si>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</si>
  <si>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</si>
  <si>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</si>
  <si>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</si>
  <si>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</si>
  <si>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</si>
  <si>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</si>
  <si>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</si>
  <si>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</si>
  <si>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</si>
  <si>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</si>
  <si>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</si>
  <si>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</si>
  <si>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</si>
  <si>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</si>
  <si>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</si>
  <si>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</si>
  <si>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</si>
  <si>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</si>
  <si>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</si>
  <si>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</si>
  <si>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</si>
  <si>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</si>
  <si>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</si>
  <si>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</si>
  <si>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</si>
  <si>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</si>
  <si>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</si>
  <si>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</si>
  <si>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</si>
  <si>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</si>
  <si>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</si>
  <si>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</si>
  <si>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</si>
  <si>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</si>
  <si>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</si>
  <si>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</si>
  <si>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</si>
  <si>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</si>
  <si>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</si>
  <si>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</si>
  <si>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</si>
  <si>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</si>
  <si>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</si>
  <si>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</si>
  <si>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</si>
  <si>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</si>
  <si>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</si>
  <si>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</si>
  <si>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</si>
  <si>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</si>
  <si>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</si>
  <si>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</si>
  <si>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</si>
  <si>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</si>
  <si>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</si>
  <si>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</si>
  <si>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</si>
  <si>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</si>
  <si>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</si>
  <si>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</si>
  <si>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</si>
  <si>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</si>
  <si>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</si>
  <si>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</si>
  <si>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</si>
  <si>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</si>
  <si>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</si>
  <si>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</si>
  <si>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</si>
  <si>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</si>
  <si>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</si>
  <si>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</si>
  <si>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</si>
  <si>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</si>
  <si>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</si>
  <si>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</si>
  <si>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</si>
  <si>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</si>
  <si>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</si>
  <si>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</si>
  <si>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</si>
  <si>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</si>
  <si>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</si>
  <si>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</si>
  <si>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</si>
  <si>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</si>
  <si>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</si>
  <si>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</si>
  <si>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</si>
  <si>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</si>
  <si>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</si>
  <si>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</si>
  <si>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</si>
  <si>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</si>
  <si>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</si>
  <si>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</si>
  <si>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</si>
  <si>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</si>
  <si>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</si>
  <si>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</si>
  <si>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</si>
  <si>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</si>
  <si>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</si>
  <si>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</si>
  <si>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</si>
  <si>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</si>
  <si>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</si>
  <si>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</si>
  <si>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</si>
  <si>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</si>
  <si>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</si>
  <si>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</si>
  <si>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</si>
  <si>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</si>
  <si>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</si>
  <si>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</si>
  <si>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</si>
  <si>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</si>
  <si>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</si>
  <si>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</si>
  <si>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</si>
  <si>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</si>
  <si>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</si>
  <si>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</si>
  <si>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</si>
  <si>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</si>
  <si>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</si>
  <si>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</si>
  <si>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</si>
  <si>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</si>
  <si>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</si>
  <si>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</si>
  <si>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</si>
  <si>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</si>
  <si>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</si>
  <si>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</si>
  <si>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</si>
  <si>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</si>
  <si>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</si>
  <si>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</si>
  <si>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</si>
  <si>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</si>
  <si>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</si>
  <si>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</si>
  <si>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</si>
  <si>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</si>
  <si>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</si>
  <si>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</si>
  <si>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</si>
  <si>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</si>
  <si>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</si>
  <si>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</si>
  <si>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</si>
  <si>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</si>
  <si>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</si>
  <si>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</si>
  <si>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</si>
  <si>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</si>
  <si>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</si>
  <si>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</si>
  <si>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</si>
  <si>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</si>
  <si>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</si>
  <si>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</si>
  <si>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</si>
  <si>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</si>
  <si>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</si>
  <si>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</si>
  <si>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</si>
  <si>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</si>
  <si>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</si>
  <si>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</si>
  <si>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</si>
  <si>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</si>
  <si>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</si>
  <si>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</si>
  <si>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</si>
  <si>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</si>
  <si>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</si>
  <si>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</si>
  <si>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</si>
  <si>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</si>
  <si>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</si>
  <si>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</si>
  <si>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</si>
  <si>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</si>
  <si>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</si>
  <si>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</si>
  <si>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</si>
  <si>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</si>
  <si>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</si>
  <si>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</si>
  <si>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</si>
  <si>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</si>
  <si>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</si>
  <si>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</si>
  <si>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</si>
  <si>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</si>
  <si>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</si>
  <si>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</si>
  <si>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</si>
  <si>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</si>
  <si>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</si>
  <si>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</si>
  <si>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</si>
  <si>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</si>
  <si>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</si>
  <si>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</si>
  <si>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</si>
  <si>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</si>
  <si>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</si>
  <si>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</si>
  <si>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</si>
  <si>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</si>
  <si>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</si>
  <si>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</si>
  <si>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</si>
  <si>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</si>
  <si>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</si>
  <si>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</si>
  <si>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</si>
  <si>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</si>
  <si>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</si>
  <si>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</si>
  <si>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</si>
  <si>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</si>
  <si>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</si>
  <si>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</si>
  <si>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</si>
  <si>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</si>
  <si>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</si>
  <si>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</si>
  <si>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</si>
  <si>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</si>
  <si>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</si>
  <si>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</si>
  <si>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</si>
  <si>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</si>
  <si>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</si>
  <si>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</si>
  <si>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</si>
  <si>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</si>
  <si>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</si>
  <si>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</si>
  <si>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</si>
  <si>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</si>
  <si>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</si>
  <si>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</si>
  <si>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</si>
  <si>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</si>
  <si>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</si>
  <si>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</si>
  <si>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</si>
  <si>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</si>
  <si>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</si>
  <si>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</si>
  <si>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</si>
  <si>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</si>
  <si>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</si>
  <si>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</si>
  <si>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</si>
  <si>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</si>
  <si>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</si>
  <si>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</si>
  <si>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</si>
  <si>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</si>
  <si>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</si>
  <si>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</si>
  <si>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</si>
  <si>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</si>
  <si>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</si>
  <si>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</si>
  <si>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</si>
  <si>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</si>
  <si>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</si>
  <si>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</si>
  <si>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</si>
  <si>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</si>
  <si>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</si>
  <si>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</si>
  <si>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</si>
  <si>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</si>
  <si>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</si>
  <si>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</si>
  <si>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</si>
  <si>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</si>
  <si>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</si>
  <si>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</si>
  <si>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</si>
  <si>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</si>
  <si>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</si>
  <si>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</si>
  <si>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</si>
  <si>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</si>
  <si>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</si>
  <si>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</si>
  <si>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</si>
  <si>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</si>
  <si>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</si>
  <si>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</si>
  <si>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</si>
  <si>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</si>
  <si>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</si>
  <si>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</si>
  <si>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</si>
  <si>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</si>
  <si>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</si>
  <si>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</si>
  <si>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</si>
  <si>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</si>
  <si>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</si>
  <si>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</si>
  <si>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</si>
  <si>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</si>
  <si>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</si>
  <si>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</si>
  <si>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</si>
  <si>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</si>
  <si>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</si>
  <si>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</si>
  <si>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</si>
  <si>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</si>
  <si>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</si>
  <si>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</si>
  <si>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</si>
  <si>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</si>
  <si>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</si>
  <si>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</si>
  <si>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</si>
  <si>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</si>
  <si>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</si>
  <si>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</si>
  <si>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</si>
  <si>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</si>
  <si>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</si>
  <si>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</si>
  <si>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</si>
  <si>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</si>
  <si>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</si>
  <si>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</si>
  <si>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</si>
  <si>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</si>
  <si>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</si>
  <si>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</si>
  <si>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</si>
  <si>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</si>
  <si>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</si>
  <si>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</si>
  <si>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</si>
  <si>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</si>
  <si>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</si>
  <si>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</si>
  <si>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</si>
  <si>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</si>
  <si>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</si>
  <si>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</si>
  <si>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</si>
  <si>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</si>
  <si>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</si>
  <si>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</si>
  <si>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</si>
  <si>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</si>
  <si>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</si>
  <si>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</si>
  <si>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</si>
  <si>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</si>
  <si>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</si>
  <si>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</si>
  <si>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</si>
  <si>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</si>
  <si>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</si>
  <si>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</si>
  <si>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</si>
  <si>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</si>
  <si>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</si>
  <si>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</si>
  <si>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</si>
  <si>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</si>
  <si>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</si>
  <si>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</si>
  <si>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</si>
  <si>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</si>
  <si>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</si>
  <si>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</si>
  <si>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</si>
  <si>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</si>
  <si>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</si>
  <si>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</si>
  <si>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</si>
  <si>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</si>
  <si>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</si>
  <si>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</si>
  <si>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</si>
  <si>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</si>
  <si>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</si>
  <si>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</si>
  <si>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</si>
  <si>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</si>
  <si>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</si>
  <si>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</si>
  <si>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</si>
  <si>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</si>
  <si>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</si>
  <si>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</si>
  <si>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</si>
  <si>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</si>
  <si>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</si>
  <si>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</si>
  <si>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</si>
  <si>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</si>
  <si>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</si>
  <si>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</si>
  <si>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</si>
  <si>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</si>
  <si>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</si>
  <si>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</si>
  <si>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</si>
  <si>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</si>
  <si>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</si>
  <si>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</si>
  <si>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</si>
  <si>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</si>
  <si>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</si>
  <si>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</si>
  <si>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</si>
  <si>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</si>
  <si>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</si>
  <si>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</si>
  <si>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</si>
  <si>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</si>
  <si>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</si>
  <si>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</si>
  <si>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</si>
  <si>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</si>
  <si>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</si>
  <si>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</si>
  <si>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</si>
  <si>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</si>
  <si>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</si>
  <si>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</si>
  <si>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</si>
  <si>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</si>
  <si>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</si>
  <si>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</si>
  <si>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</si>
  <si>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</si>
  <si>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</si>
  <si>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</si>
  <si>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</si>
  <si>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</si>
  <si>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</si>
  <si>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</si>
  <si>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</si>
  <si>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</si>
  <si>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</si>
  <si>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</si>
  <si>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</si>
  <si>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</si>
  <si>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</si>
  <si>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</si>
  <si>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</si>
  <si>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</si>
  <si>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</si>
  <si>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</si>
  <si>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</si>
  <si>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</si>
  <si>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</si>
  <si>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</si>
  <si>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</si>
  <si>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</si>
  <si>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</si>
  <si>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</si>
  <si>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</si>
  <si>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</si>
  <si>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</si>
  <si>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</si>
  <si>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</si>
  <si>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</si>
  <si>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</si>
  <si>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</si>
  <si>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</si>
  <si>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</si>
  <si>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</si>
  <si>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</si>
  <si>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</si>
  <si>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</si>
  <si>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</si>
  <si>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</si>
  <si>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</si>
  <si>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</si>
  <si>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</si>
  <si>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</si>
  <si>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</si>
  <si>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</si>
  <si>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</si>
  <si>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</si>
  <si>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</si>
  <si>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</si>
  <si>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</si>
  <si>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</si>
  <si>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</si>
  <si>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</si>
  <si>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</si>
  <si>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</si>
  <si>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</si>
  <si>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</si>
  <si>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</si>
  <si>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</si>
  <si>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</si>
  <si>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</si>
  <si>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</si>
  <si>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</si>
  <si>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</si>
  <si>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</si>
  <si>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</si>
  <si>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</si>
  <si>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</si>
  <si>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</si>
  <si>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</si>
  <si>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</si>
  <si>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</si>
  <si>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</si>
  <si>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</si>
  <si>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</si>
  <si>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</si>
  <si>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</si>
  <si>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</si>
  <si>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</si>
  <si>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</si>
  <si>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</si>
  <si>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</si>
  <si>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</si>
  <si>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</si>
  <si>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</si>
  <si>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</si>
  <si>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</si>
  <si>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</si>
  <si>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</si>
  <si>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</si>
  <si>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</si>
  <si>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</si>
  <si>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</si>
  <si>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</si>
  <si>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</si>
  <si>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</si>
  <si>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</si>
  <si>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</si>
  <si>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</si>
  <si>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</si>
  <si>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</si>
  <si>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</si>
  <si>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</si>
  <si>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</si>
  <si>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</si>
  <si>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</si>
  <si>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</si>
  <si>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</si>
  <si>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</si>
  <si>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</si>
  <si>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</si>
  <si>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</si>
  <si>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</si>
  <si>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</si>
  <si>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</si>
  <si>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</si>
  <si>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</si>
  <si>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</si>
  <si>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</si>
  <si>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</si>
  <si>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</si>
  <si>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</si>
  <si>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</si>
  <si>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</si>
  <si>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</si>
  <si>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</si>
  <si>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</si>
  <si>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</si>
  <si>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</si>
  <si>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</si>
  <si>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</si>
  <si>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</si>
  <si>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</si>
  <si>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</si>
  <si>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</si>
  <si>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</si>
  <si>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</si>
  <si>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</si>
  <si>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</si>
  <si>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</si>
  <si>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</si>
  <si>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</si>
  <si>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</si>
  <si>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</si>
  <si>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</si>
  <si>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</si>
  <si>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</si>
  <si>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</si>
  <si>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</si>
  <si>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</si>
  <si>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</si>
  <si>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</si>
  <si>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</si>
  <si>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</si>
  <si>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</si>
  <si>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</si>
  <si>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</si>
  <si>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</si>
  <si>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</si>
  <si>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</si>
  <si>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</si>
  <si>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</si>
  <si>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</si>
  <si>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</si>
  <si>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</si>
  <si>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</si>
  <si>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</si>
  <si>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</si>
  <si>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</si>
  <si>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</si>
  <si>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</si>
  <si>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</si>
  <si>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</si>
  <si>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</si>
  <si>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</si>
  <si>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</si>
  <si>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</si>
  <si>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</si>
  <si>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</si>
  <si>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</si>
  <si>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</si>
  <si>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</si>
  <si>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</si>
  <si>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</si>
  <si>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</si>
  <si>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</si>
  <si>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</si>
  <si>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</si>
  <si>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</si>
  <si>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</si>
  <si>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</si>
  <si>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</si>
  <si>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</si>
  <si>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</si>
  <si>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</si>
  <si>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</si>
  <si>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</si>
  <si>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</si>
  <si>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</si>
  <si>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</si>
  <si>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</si>
  <si>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</si>
  <si>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</si>
  <si>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</si>
  <si>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</si>
  <si>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</si>
  <si>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</si>
  <si>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</si>
  <si>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</si>
  <si>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</si>
  <si>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</si>
  <si>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</si>
  <si>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</si>
  <si>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</si>
  <si>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</si>
  <si>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</si>
  <si>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</si>
  <si>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</si>
  <si>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</si>
  <si>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</si>
  <si>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</si>
  <si>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</si>
  <si>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</si>
  <si>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</si>
  <si>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</si>
  <si>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</si>
  <si>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</si>
  <si>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</si>
  <si>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</si>
  <si>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</si>
  <si>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</si>
  <si>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</si>
  <si>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</si>
  <si>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</si>
  <si>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</si>
  <si>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</si>
  <si>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</si>
  <si>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</si>
  <si>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</si>
  <si>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</si>
  <si>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</si>
  <si>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</si>
  <si>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</si>
  <si>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</si>
  <si>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</si>
  <si>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</si>
  <si>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</si>
  <si>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</si>
  <si>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</si>
  <si>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</si>
  <si>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</si>
  <si>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</si>
  <si>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</si>
  <si>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</si>
  <si>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</si>
  <si>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</si>
  <si>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</si>
  <si>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</si>
  <si>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</si>
  <si>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</si>
  <si>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</si>
  <si>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</si>
  <si>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</si>
  <si>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</si>
  <si>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</si>
  <si>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</si>
  <si>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</si>
  <si>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</si>
  <si>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</si>
  <si>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</si>
  <si>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</si>
  <si>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</si>
  <si>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</si>
  <si>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</si>
  <si>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</si>
  <si>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</si>
  <si>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</si>
  <si>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</si>
  <si>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</si>
  <si>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</si>
  <si>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</si>
  <si>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</si>
  <si>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</si>
  <si>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</si>
  <si>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</si>
  <si>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</si>
  <si>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</si>
  <si>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</si>
  <si>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</si>
  <si>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</si>
  <si>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</si>
  <si>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</si>
  <si>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</si>
  <si>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</si>
  <si>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</si>
  <si>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</si>
  <si>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</si>
  <si>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</si>
  <si>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</si>
  <si>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</si>
  <si>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</si>
  <si>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</si>
  <si>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</si>
  <si>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</si>
  <si>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</si>
  <si>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</si>
  <si>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</si>
  <si>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</si>
  <si>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</si>
  <si>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</si>
  <si>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</si>
  <si>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</si>
  <si>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</si>
  <si>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</si>
  <si>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</si>
  <si>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</si>
  <si>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</si>
  <si>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</si>
  <si>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</si>
  <si>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</si>
  <si>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</si>
  <si>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</si>
  <si>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</si>
  <si>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</si>
  <si>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</si>
  <si>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</si>
  <si>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</si>
  <si>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</si>
  <si>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</si>
  <si>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</si>
  <si>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</si>
  <si>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</si>
  <si>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</si>
  <si>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</si>
  <si>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</si>
  <si>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</si>
  <si>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</si>
  <si>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</si>
  <si>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</si>
  <si>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</si>
  <si>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</si>
  <si>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</si>
  <si>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</si>
  <si>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</si>
  <si>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</si>
  <si>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</si>
  <si>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</si>
  <si>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</si>
  <si>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</si>
  <si>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</si>
  <si>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</si>
  <si>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</si>
  <si>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</si>
  <si>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</si>
  <si>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</si>
  <si>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</si>
  <si>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</si>
  <si>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</si>
  <si>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</si>
  <si>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</si>
  <si>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</si>
  <si>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</si>
  <si>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</si>
  <si>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</si>
  <si>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</si>
  <si>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</si>
  <si>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</si>
  <si>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</si>
  <si>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</si>
  <si>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</si>
  <si>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</si>
  <si>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</si>
  <si>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</si>
  <si>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</si>
  <si>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</si>
  <si>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</si>
  <si>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</si>
  <si>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</si>
  <si>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</si>
  <si>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</si>
  <si>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</si>
  <si>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</si>
  <si>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</si>
  <si>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</si>
  <si>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</si>
  <si>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</si>
  <si>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</si>
  <si>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</si>
  <si>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</si>
  <si>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</si>
  <si>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</si>
  <si>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</si>
  <si>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</si>
  <si>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</si>
  <si>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</si>
  <si>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</si>
  <si>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</si>
  <si>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</si>
  <si>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</si>
  <si>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</si>
  <si>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</si>
  <si>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</si>
  <si>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</si>
  <si>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</si>
  <si>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</si>
  <si>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</si>
  <si>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</si>
  <si>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</si>
  <si>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</si>
  <si>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</si>
  <si>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</si>
  <si>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</si>
  <si>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</si>
  <si>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</si>
  <si>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</si>
  <si>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</si>
  <si>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</si>
  <si>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</si>
  <si>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</si>
  <si>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</si>
  <si>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</si>
  <si>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</si>
  <si>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</si>
  <si>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</si>
  <si>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</si>
  <si>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</si>
  <si>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</si>
  <si>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</si>
  <si>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</si>
  <si>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</si>
  <si>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</si>
  <si>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</si>
  <si>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</si>
  <si>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</si>
  <si>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</si>
  <si>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</si>
  <si>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</si>
  <si>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</si>
  <si>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</si>
  <si>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</si>
  <si>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</si>
  <si>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</si>
  <si>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</si>
  <si>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</si>
  <si>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</si>
  <si>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</si>
  <si>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</si>
  <si>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</si>
  <si>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</si>
  <si>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</si>
  <si>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</si>
  <si>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</si>
  <si>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</si>
  <si>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</si>
  <si>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</si>
  <si>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</si>
  <si>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</si>
  <si>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</si>
  <si>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</si>
  <si>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</si>
  <si>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</si>
  <si>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</si>
  <si>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</si>
  <si>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</si>
  <si>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</si>
  <si>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</si>
  <si>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</si>
  <si>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</si>
  <si>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</si>
  <si>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</si>
  <si>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</si>
  <si>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</si>
  <si>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</si>
  <si>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</si>
  <si>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</si>
  <si>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</si>
  <si>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</si>
  <si>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</si>
  <si>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</si>
  <si>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</si>
  <si>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</si>
  <si>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</si>
  <si>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</si>
  <si>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</si>
  <si>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</si>
  <si>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</si>
  <si>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</si>
  <si>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</si>
  <si>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</si>
  <si>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</si>
  <si>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</si>
  <si>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</si>
  <si>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</si>
  <si>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</si>
  <si>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</si>
  <si>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</si>
  <si>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</si>
  <si>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</si>
  <si>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</si>
  <si>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</si>
  <si>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</si>
  <si>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</si>
  <si>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</si>
  <si>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</si>
  <si>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</si>
  <si>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</si>
  <si>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</si>
  <si>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</si>
  <si>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</si>
  <si>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</si>
  <si>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</si>
  <si>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</si>
  <si>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</si>
  <si>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</si>
  <si>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</si>
  <si>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</si>
  <si>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</si>
  <si>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</si>
  <si>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</si>
  <si>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</si>
  <si>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</si>
  <si>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</si>
  <si>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</si>
  <si>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</si>
  <si>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</si>
  <si>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</si>
  <si>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</si>
  <si>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</si>
  <si>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</si>
  <si>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</si>
  <si>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</si>
  <si>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</si>
  <si>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</si>
  <si>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</si>
  <si>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</si>
  <si>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</si>
  <si>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</si>
  <si>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</si>
  <si>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</si>
  <si>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</si>
  <si>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</si>
  <si>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</si>
  <si>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</si>
  <si>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</si>
  <si>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</si>
  <si>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</si>
  <si>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</si>
  <si>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</si>
  <si>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</si>
  <si>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</si>
  <si>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</si>
  <si>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</si>
  <si>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</si>
  <si>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</si>
  <si>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</si>
  <si>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</si>
  <si>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</si>
  <si>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</si>
  <si>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</si>
  <si>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</si>
  <si>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</si>
  <si>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</si>
  <si>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</si>
  <si>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</si>
  <si>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</si>
  <si>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</si>
  <si>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</si>
  <si>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</si>
  <si>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</si>
  <si>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</si>
  <si>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</si>
  <si>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</si>
  <si>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</si>
  <si>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</si>
  <si>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</si>
  <si>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</si>
  <si>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</si>
  <si>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</si>
  <si>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</si>
  <si>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</si>
  <si>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</si>
  <si>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</si>
  <si>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</si>
  <si>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</si>
  <si>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</si>
  <si>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</si>
  <si>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</si>
  <si>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</si>
  <si>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</si>
  <si>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</si>
  <si>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</si>
  <si>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</si>
  <si>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</si>
  <si>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</si>
  <si>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</si>
  <si>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</si>
  <si>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</si>
  <si>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</si>
  <si>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</si>
  <si>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</si>
  <si>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</si>
  <si>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</si>
  <si>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</si>
  <si>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</si>
  <si>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</si>
  <si>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</si>
  <si>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</si>
  <si>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</si>
  <si>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</si>
  <si>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</si>
  <si>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</si>
  <si>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</si>
  <si>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</si>
  <si>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</si>
  <si>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</si>
  <si>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</si>
  <si>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</si>
  <si>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</si>
  <si>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</si>
  <si>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</si>
  <si>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</si>
  <si>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</si>
  <si>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</si>
  <si>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</si>
  <si>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</si>
  <si>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</si>
  <si>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</si>
  <si>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</si>
  <si>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</si>
  <si>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</si>
  <si>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</si>
  <si>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</si>
  <si>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</si>
  <si>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</si>
  <si>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</si>
  <si>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</si>
  <si>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</si>
  <si>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</si>
  <si>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</si>
  <si>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</si>
  <si>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</si>
  <si>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</si>
  <si>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</si>
  <si>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</si>
  <si>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</si>
  <si>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</si>
  <si>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</si>
  <si>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</si>
  <si>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</si>
  <si>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</si>
  <si>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</si>
  <si>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</si>
  <si>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</si>
  <si>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</si>
  <si>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</si>
  <si>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</si>
  <si>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</si>
  <si>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</si>
  <si>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</si>
  <si>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</si>
  <si>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</si>
  <si>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</si>
  <si>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</si>
  <si>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</si>
  <si>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</si>
  <si>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</si>
  <si>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</si>
  <si>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</si>
  <si>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</si>
  <si>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</si>
  <si>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</si>
  <si>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</si>
  <si>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</si>
  <si>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</si>
  <si>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</si>
  <si>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</si>
  <si>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</si>
  <si>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</si>
  <si>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</si>
  <si>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</si>
  <si>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</si>
  <si>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</si>
  <si>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</si>
  <si>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</si>
  <si>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</si>
  <si>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</si>
  <si>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</si>
  <si>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</si>
  <si>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</si>
  <si>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</si>
  <si>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</si>
  <si>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</si>
  <si>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</si>
  <si>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</si>
  <si>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</si>
  <si>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</si>
  <si>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</si>
  <si>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</si>
  <si>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</si>
  <si>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</si>
  <si>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</si>
  <si>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</si>
  <si>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</si>
  <si>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</si>
  <si>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</si>
  <si>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</si>
  <si>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</si>
  <si>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</si>
  <si>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</si>
  <si>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</si>
  <si>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</si>
  <si>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</si>
  <si>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</si>
  <si>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</si>
  <si>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</si>
  <si>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</si>
  <si>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</si>
  <si>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</si>
  <si>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</si>
  <si>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</si>
  <si>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</si>
  <si>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</si>
  <si>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</si>
  <si>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</si>
  <si>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</si>
  <si>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</si>
  <si>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</si>
  <si>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</si>
  <si>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</si>
  <si>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</si>
  <si>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</si>
  <si>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</si>
  <si>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</si>
  <si>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</si>
  <si>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</si>
  <si>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</si>
  <si>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</si>
  <si>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</si>
  <si>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</si>
  <si>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</si>
  <si>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</si>
  <si>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</si>
  <si>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</si>
  <si>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</si>
  <si>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</si>
  <si>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</si>
  <si>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</si>
  <si>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</si>
  <si>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</si>
  <si>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</si>
  <si>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</si>
  <si>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</si>
  <si>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</si>
  <si>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</si>
  <si>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</si>
  <si>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</si>
  <si>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</si>
  <si>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</si>
  <si>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</si>
  <si>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</si>
  <si>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</si>
  <si>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</si>
  <si>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</si>
  <si>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</si>
  <si>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</si>
  <si>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</si>
  <si>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</si>
  <si>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</si>
  <si>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</si>
  <si>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</si>
  <si>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</si>
  <si>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</si>
  <si>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</si>
  <si>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</si>
  <si>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</si>
  <si>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</si>
  <si>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</si>
  <si>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</si>
  <si>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</si>
  <si>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</si>
  <si>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</si>
  <si>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</si>
  <si>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</si>
  <si>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</si>
  <si>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</si>
  <si>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</si>
  <si>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</si>
  <si>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</si>
  <si>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</si>
  <si>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</si>
  <si>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</si>
  <si>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</si>
  <si>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</si>
  <si>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</si>
  <si>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</si>
  <si>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</si>
  <si>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</si>
  <si>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</si>
  <si>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</si>
  <si>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</si>
  <si>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</si>
  <si>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</si>
  <si>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</si>
  <si>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</si>
  <si>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</si>
  <si>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</si>
  <si>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</si>
  <si>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</si>
  <si>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</si>
  <si>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</si>
  <si>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</si>
  <si>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</si>
  <si>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</si>
  <si>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</si>
  <si>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</si>
  <si>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</si>
  <si>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</si>
  <si>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</si>
  <si>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</si>
  <si>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</si>
  <si>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</si>
  <si>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</si>
  <si>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</si>
  <si>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</si>
  <si>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</si>
  <si>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</si>
  <si>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</si>
  <si>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</si>
  <si>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</si>
  <si>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</si>
  <si>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</si>
  <si>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</si>
  <si>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</si>
  <si>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</si>
  <si>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</si>
  <si>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</si>
  <si>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</si>
  <si>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</si>
  <si>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</si>
  <si>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</si>
  <si>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</si>
  <si>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</si>
  <si>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</si>
  <si>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</si>
  <si>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</si>
  <si>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</si>
  <si>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</si>
  <si>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</si>
  <si>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</si>
  <si>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</si>
  <si>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</si>
  <si>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</si>
  <si>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</si>
  <si>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</si>
  <si>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</si>
  <si>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</si>
  <si>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</si>
  <si>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</si>
  <si>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</si>
  <si>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</si>
  <si>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</si>
  <si>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</si>
  <si>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</si>
  <si>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</si>
  <si>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</si>
  <si>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</si>
  <si>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</si>
  <si>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</si>
  <si>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</si>
  <si>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</si>
  <si>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</si>
  <si>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</si>
  <si>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</si>
  <si>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</si>
  <si>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</si>
  <si>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</si>
  <si>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</si>
  <si>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</si>
  <si>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</si>
  <si>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</si>
  <si>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</si>
  <si>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</si>
  <si>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</si>
  <si>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</si>
  <si>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</si>
  <si>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</si>
  <si>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</si>
  <si>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</si>
  <si>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</si>
  <si>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</si>
  <si>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</si>
  <si>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</si>
  <si>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</si>
  <si>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</si>
  <si>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</si>
  <si>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</si>
  <si>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</si>
  <si>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</si>
  <si>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</si>
  <si>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</si>
  <si>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</si>
  <si>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</si>
  <si>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</si>
  <si>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</si>
  <si>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</si>
  <si>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</si>
  <si>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</si>
  <si>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</si>
  <si>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</si>
  <si>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</si>
  <si>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</si>
  <si>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</si>
  <si>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</si>
  <si>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</si>
  <si>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</si>
  <si>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</si>
  <si>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</si>
  <si>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</si>
  <si>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</si>
  <si>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</si>
  <si>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</si>
  <si>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</si>
  <si>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</si>
  <si>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</si>
  <si>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</si>
  <si>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</si>
  <si>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</si>
  <si>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</si>
  <si>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</si>
  <si>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</si>
  <si>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</si>
  <si>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</si>
  <si>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</si>
  <si>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</si>
  <si>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</si>
  <si>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</si>
  <si>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</si>
  <si>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</si>
  <si>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</si>
  <si>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</si>
  <si>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</si>
  <si>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</si>
  <si>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</si>
  <si>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</si>
  <si>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</si>
  <si>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</si>
  <si>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</si>
  <si>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</si>
  <si>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</si>
  <si>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</si>
  <si>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</si>
  <si>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</si>
  <si>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</si>
  <si>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</si>
  <si>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</si>
  <si>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</si>
  <si>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</si>
  <si>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</si>
  <si>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</si>
  <si>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</si>
  <si>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</si>
  <si>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</si>
  <si>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</si>
  <si>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</si>
  <si>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</si>
  <si>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</si>
  <si>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</si>
  <si>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</si>
  <si>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</si>
  <si>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</si>
  <si>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</si>
  <si>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</si>
  <si>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</si>
  <si>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</si>
  <si>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</si>
  <si>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</si>
  <si>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</si>
  <si>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</si>
  <si>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</si>
  <si>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</si>
  <si>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</si>
  <si>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</si>
  <si>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</si>
  <si>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</si>
  <si>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</si>
  <si>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</si>
  <si>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</si>
  <si>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</si>
  <si>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</si>
  <si>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</si>
  <si>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</si>
  <si>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</si>
  <si>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</si>
  <si>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</si>
  <si>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</si>
  <si>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</si>
  <si>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</si>
  <si>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</si>
  <si>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</si>
  <si>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</si>
  <si>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</si>
  <si>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</si>
  <si>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</si>
  <si>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</si>
  <si>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</si>
  <si>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</si>
  <si>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</si>
  <si>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</si>
  <si>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</si>
  <si>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</si>
  <si>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</si>
  <si>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</si>
  <si>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</si>
  <si>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</si>
  <si>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</si>
  <si>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</si>
  <si>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</si>
  <si>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</si>
  <si>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</si>
  <si>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</si>
  <si>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</si>
  <si>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</si>
  <si>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</si>
  <si>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</si>
  <si>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</si>
  <si>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</si>
  <si>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</si>
  <si>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</si>
  <si>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</si>
  <si>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</si>
  <si>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</si>
  <si>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</si>
  <si>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</si>
  <si>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</si>
  <si>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</si>
  <si>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</si>
  <si>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</si>
  <si>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</si>
  <si>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</si>
  <si>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</si>
  <si>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</si>
  <si>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</si>
  <si>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</si>
  <si>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</si>
  <si>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</si>
  <si>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</si>
  <si>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</si>
  <si>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</si>
  <si>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</si>
  <si>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</si>
  <si>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</si>
  <si>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</si>
  <si>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</si>
  <si>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</si>
  <si>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</si>
  <si>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</si>
  <si>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</si>
  <si>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</si>
  <si>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</si>
  <si>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</si>
  <si>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</si>
  <si>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</si>
  <si>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</si>
  <si>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</si>
  <si>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</si>
  <si>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</si>
  <si>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</si>
  <si>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</si>
  <si>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</si>
  <si>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</si>
  <si>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</si>
  <si>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</si>
  <si>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</si>
  <si>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</si>
  <si>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</si>
  <si>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</si>
  <si>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</si>
  <si>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</si>
  <si>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</si>
  <si>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</si>
  <si>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</si>
  <si>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</si>
  <si>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</si>
  <si>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</si>
  <si>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</si>
  <si>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</si>
  <si>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</si>
  <si>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</si>
  <si>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</si>
  <si>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</si>
  <si>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</si>
  <si>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</si>
  <si>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</si>
  <si>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</si>
  <si>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</si>
  <si>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</si>
  <si>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</si>
  <si>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</si>
  <si>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</si>
  <si>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</si>
  <si>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</si>
  <si>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</si>
  <si>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</si>
  <si>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</si>
  <si>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</si>
  <si>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</si>
  <si>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</si>
  <si>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</si>
  <si>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</si>
  <si>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</si>
  <si>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</si>
  <si>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</si>
  <si>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</si>
  <si>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</si>
  <si>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</si>
  <si>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</si>
  <si>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</si>
  <si>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</si>
  <si>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</si>
  <si>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</si>
  <si>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</si>
  <si>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</si>
  <si>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</si>
  <si>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</si>
  <si>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</si>
  <si>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</si>
  <si>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</si>
  <si>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</si>
  <si>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</si>
  <si>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</si>
  <si>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</si>
  <si>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</si>
  <si>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</si>
  <si>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</si>
  <si>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</si>
  <si>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</si>
  <si>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</si>
  <si>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</si>
  <si>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</si>
  <si>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</si>
  <si>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</si>
  <si>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</si>
  <si>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</si>
  <si>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</si>
  <si>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</si>
  <si>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</si>
  <si>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</si>
  <si>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</si>
  <si>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</si>
  <si>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</si>
  <si>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</si>
  <si>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</si>
  <si>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</si>
  <si>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</si>
  <si>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</si>
  <si>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</si>
  <si>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</si>
  <si>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</si>
  <si>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</si>
  <si>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</si>
  <si>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</si>
  <si>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</si>
  <si>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</si>
  <si>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</si>
  <si>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</si>
  <si>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</si>
  <si>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</si>
  <si>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</si>
  <si>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</si>
  <si>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</si>
  <si>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</si>
  <si>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</si>
  <si>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</si>
  <si>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</si>
  <si>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</si>
  <si>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</si>
  <si>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</si>
  <si>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</si>
  <si>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</si>
  <si>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</si>
  <si>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</si>
  <si>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</si>
  <si>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</si>
  <si>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</si>
  <si>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</si>
  <si>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</si>
  <si>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</si>
  <si>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</si>
  <si>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</si>
  <si>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</si>
  <si>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</si>
  <si>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</si>
  <si>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</si>
  <si>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</si>
  <si>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</si>
  <si>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</si>
  <si>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</si>
  <si>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</si>
  <si>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</si>
  <si>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</si>
  <si>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</si>
  <si>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</si>
  <si>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</si>
  <si>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</si>
  <si>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</si>
  <si>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</si>
  <si>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</si>
  <si>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</si>
  <si>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</si>
  <si>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</si>
  <si>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</si>
  <si>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</si>
  <si>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</si>
  <si>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</si>
  <si>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</si>
  <si>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</si>
  <si>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</si>
  <si>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</si>
  <si>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</si>
  <si>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</si>
  <si>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</si>
  <si>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</si>
  <si>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</si>
  <si>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</si>
  <si>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</si>
  <si>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</si>
  <si>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</si>
  <si>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</si>
  <si>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</si>
  <si>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</si>
  <si>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</si>
  <si>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</si>
  <si>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</si>
  <si>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</si>
  <si>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</si>
  <si>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</si>
  <si>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</si>
  <si>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</si>
  <si>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</si>
  <si>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</si>
  <si>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</si>
  <si>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</si>
  <si>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</si>
  <si>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</si>
  <si>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</si>
  <si>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</si>
  <si>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</si>
  <si>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</si>
  <si>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</si>
  <si>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</si>
  <si>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</si>
  <si>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</si>
  <si>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</si>
  <si>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</si>
  <si>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</si>
  <si>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</si>
  <si>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</si>
  <si>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</si>
  <si>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</si>
  <si>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</si>
  <si>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</si>
  <si>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</si>
  <si>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</si>
  <si>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</si>
  <si>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</si>
  <si>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</si>
  <si>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</si>
  <si>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</si>
  <si>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</si>
  <si>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</si>
  <si>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</si>
  <si>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</si>
  <si>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</si>
  <si>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</si>
  <si>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</si>
  <si>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</si>
  <si>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</si>
  <si>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</si>
  <si>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</si>
  <si>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</si>
  <si>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</si>
  <si>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</si>
  <si>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</si>
  <si>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</si>
  <si>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</si>
  <si>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</si>
  <si>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</si>
  <si>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</si>
  <si>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</si>
  <si>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</si>
  <si>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</si>
  <si>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</si>
  <si>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</si>
  <si>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</si>
  <si>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</si>
  <si>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</si>
  <si>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</si>
  <si>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</si>
  <si>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</si>
  <si>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</si>
  <si>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</si>
  <si>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</si>
  <si>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</si>
  <si>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</si>
  <si>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</si>
  <si>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</si>
  <si>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</si>
  <si>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</si>
  <si>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</si>
  <si>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</si>
  <si>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</si>
  <si>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</si>
  <si>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</si>
  <si>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</si>
  <si>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</si>
  <si>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</si>
  <si>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</si>
  <si>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</si>
  <si>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</si>
  <si>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</si>
  <si>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</si>
  <si>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</si>
  <si>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</si>
  <si>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</si>
  <si>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</si>
  <si>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</si>
  <si>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</si>
  <si>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</si>
  <si>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</si>
  <si>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</si>
  <si>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</si>
  <si>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</si>
  <si>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</si>
  <si>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</si>
  <si>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</si>
  <si>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</si>
  <si>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</si>
  <si>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</si>
  <si>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</si>
  <si>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</si>
  <si>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</si>
  <si>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</si>
  <si>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</si>
  <si>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</si>
  <si>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</si>
  <si>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</si>
  <si>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</si>
  <si>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</si>
  <si>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</si>
  <si>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</si>
  <si>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</si>
  <si>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</si>
  <si>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</si>
  <si>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</si>
  <si>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</si>
  <si>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</si>
  <si>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</si>
  <si>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</si>
  <si>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</si>
  <si>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</si>
  <si>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</si>
  <si>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</si>
  <si>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</si>
  <si>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</si>
  <si>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</si>
  <si>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</si>
  <si>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</si>
  <si>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</si>
  <si>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</si>
  <si>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</si>
  <si>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</si>
  <si>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</si>
  <si>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</si>
  <si>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</si>
  <si>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</si>
  <si>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</si>
  <si>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</si>
  <si>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</si>
  <si>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</si>
  <si>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</si>
  <si>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</si>
  <si>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</si>
  <si>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</si>
  <si>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</si>
  <si>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</si>
  <si>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</si>
  <si>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</si>
  <si>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</si>
  <si>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</si>
  <si>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</si>
  <si>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</si>
  <si>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</si>
  <si>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</si>
  <si>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</si>
  <si>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</si>
  <si>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</si>
  <si>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</si>
  <si>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</si>
  <si>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</si>
  <si>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</si>
  <si>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</si>
  <si>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</si>
  <si>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</si>
  <si>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</si>
  <si>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</si>
  <si>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</si>
  <si>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</si>
  <si>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</si>
  <si>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</si>
  <si>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</si>
  <si>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</si>
  <si>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</si>
  <si>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</si>
  <si>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</si>
  <si>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</si>
  <si>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</si>
  <si>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</si>
  <si>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</si>
  <si>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</si>
  <si>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</si>
  <si>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</si>
  <si>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</si>
  <si>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</si>
  <si>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</si>
  <si>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</si>
  <si>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</si>
  <si>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</si>
  <si>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</si>
  <si>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</si>
  <si>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</si>
  <si>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</si>
  <si>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</si>
  <si>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</si>
  <si>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</si>
  <si>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</si>
  <si>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</si>
  <si>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</si>
  <si>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</si>
  <si>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</si>
  <si>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</si>
  <si>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</si>
  <si>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</si>
  <si>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</si>
  <si>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</si>
  <si>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</si>
  <si>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</si>
  <si>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</si>
  <si>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</si>
  <si>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</si>
  <si>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</si>
  <si>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</si>
  <si>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</si>
  <si>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</si>
  <si>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</si>
  <si>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</si>
  <si>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</si>
  <si>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</si>
  <si>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</si>
  <si>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</si>
  <si>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</si>
  <si>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</si>
  <si>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</si>
  <si>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</si>
  <si>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</si>
  <si>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</si>
  <si>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</si>
  <si>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</si>
  <si>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</si>
  <si>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</si>
  <si>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</si>
  <si>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</si>
  <si>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</si>
  <si>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</si>
  <si>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</si>
  <si>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</si>
  <si>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</si>
  <si>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</si>
  <si>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</si>
  <si>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</si>
  <si>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</si>
  <si>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</si>
  <si>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</si>
  <si>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</si>
  <si>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</si>
  <si>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</si>
  <si>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</si>
  <si>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</si>
  <si>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</si>
  <si>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</si>
  <si>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</si>
  <si>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</si>
  <si>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</si>
  <si>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</si>
  <si>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</si>
  <si>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</si>
  <si>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</si>
  <si>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</si>
  <si>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</si>
  <si>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</si>
  <si>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</si>
  <si>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</si>
  <si>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</si>
  <si>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</si>
  <si>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</si>
  <si>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</si>
  <si>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</si>
  <si>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</si>
  <si>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</si>
  <si>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</si>
  <si>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</si>
  <si>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</si>
  <si>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</si>
  <si>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</si>
  <si>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</si>
  <si>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</si>
  <si>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</si>
  <si>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</si>
  <si>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</si>
  <si>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</si>
  <si>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</si>
  <si>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</si>
  <si>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</si>
  <si>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</si>
  <si>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</si>
  <si>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</si>
  <si>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</si>
  <si>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</si>
  <si>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</si>
  <si>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</si>
  <si>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</si>
  <si>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</si>
  <si>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</si>
  <si>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</si>
  <si>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</si>
  <si>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</si>
  <si>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</si>
  <si>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</si>
  <si>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</si>
  <si>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</si>
  <si>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</si>
  <si>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</si>
  <si>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</si>
  <si>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</si>
  <si>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</si>
  <si>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</si>
  <si>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</si>
  <si>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</si>
  <si>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</si>
  <si>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</si>
  <si>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</si>
  <si>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</si>
  <si>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</si>
  <si>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</si>
  <si>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</si>
  <si>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</si>
  <si>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</si>
  <si>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</si>
  <si>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</si>
  <si>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</si>
  <si>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</si>
  <si>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</si>
  <si>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</si>
  <si>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</si>
  <si>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</si>
  <si>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</si>
  <si>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</si>
  <si>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</si>
  <si>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</si>
  <si>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</si>
  <si>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</si>
  <si>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</si>
  <si>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</si>
  <si>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</si>
  <si>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</si>
  <si>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</si>
  <si>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</si>
  <si>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</si>
  <si>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</si>
  <si>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</si>
  <si>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</si>
  <si>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</si>
  <si>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</si>
  <si>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</si>
  <si>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</si>
  <si>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</si>
  <si>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</si>
  <si>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</si>
  <si>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</si>
  <si>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</si>
  <si>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</si>
  <si>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</si>
  <si>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</si>
  <si>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</si>
  <si>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</si>
  <si>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</si>
  <si>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</si>
  <si>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</si>
  <si>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</si>
  <si>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</si>
  <si>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</si>
  <si>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</si>
  <si>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</si>
  <si>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</si>
  <si>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</si>
  <si>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</si>
  <si>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</si>
  <si>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</si>
  <si>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</si>
  <si>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</si>
  <si>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</si>
  <si>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</si>
  <si>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</si>
  <si>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</si>
  <si>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</si>
  <si>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</si>
  <si>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</si>
  <si>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</si>
  <si>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</si>
  <si>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</si>
  <si>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</si>
  <si>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</si>
  <si>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</si>
  <si>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</si>
  <si>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</si>
  <si>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</si>
  <si>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</si>
  <si>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</si>
  <si>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</si>
  <si>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</si>
  <si>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</si>
  <si>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</si>
  <si>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</si>
  <si>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</si>
  <si>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</si>
  <si>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</si>
  <si>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</si>
  <si>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</si>
  <si>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</si>
  <si>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</si>
  <si>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</si>
  <si>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</si>
  <si>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</si>
  <si>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</si>
  <si>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</si>
  <si>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</si>
  <si>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</si>
  <si>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</si>
  <si>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</si>
  <si>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</si>
  <si>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</si>
  <si>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</si>
  <si>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</si>
  <si>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</si>
  <si>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</si>
  <si>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</si>
  <si>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</si>
  <si>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</si>
  <si>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</si>
  <si>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</si>
  <si>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</si>
  <si>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</si>
  <si>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</si>
  <si>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</si>
  <si>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</si>
  <si>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</si>
  <si>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</si>
  <si>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</si>
  <si>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</si>
  <si>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</si>
  <si>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</si>
  <si>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</si>
  <si>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</si>
  <si>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</si>
  <si>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</si>
  <si>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</si>
  <si>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</si>
  <si>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</si>
  <si>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</si>
  <si>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</si>
  <si>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</si>
  <si>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</si>
  <si>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</si>
  <si>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</si>
  <si>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</si>
  <si>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</si>
  <si>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</si>
  <si>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</si>
  <si>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</si>
  <si>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</si>
  <si>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</si>
  <si>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</si>
  <si>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</si>
  <si>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</si>
  <si>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</si>
  <si>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</si>
  <si>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</si>
  <si>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</si>
  <si>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</si>
  <si>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</si>
  <si>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</si>
  <si>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</si>
  <si>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</si>
  <si>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</si>
  <si>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</si>
  <si>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</si>
  <si>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</si>
  <si>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</si>
  <si>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</si>
  <si>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</si>
  <si>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</si>
  <si>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</si>
  <si>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</si>
  <si>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</si>
  <si>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</si>
  <si>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</si>
  <si>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</si>
  <si>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</si>
  <si>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</si>
  <si>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</si>
  <si>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</si>
  <si>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</si>
  <si>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</si>
  <si>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</si>
  <si>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</si>
  <si>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</si>
  <si>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</si>
  <si>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</si>
  <si>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</si>
  <si>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</si>
  <si>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</si>
  <si>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</si>
  <si>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</si>
  <si>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</si>
  <si>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</si>
  <si>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</si>
  <si>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</si>
  <si>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</si>
  <si>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</si>
  <si>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</si>
  <si>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</si>
  <si>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</si>
  <si>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</si>
  <si>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</si>
  <si>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</si>
  <si>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</si>
  <si>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</si>
  <si>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</si>
  <si>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</si>
  <si>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</si>
  <si>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</si>
  <si>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</si>
  <si>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</si>
  <si>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</si>
  <si>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</si>
  <si>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</si>
  <si>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</si>
  <si>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</si>
  <si>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</si>
  <si>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</si>
  <si>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</si>
  <si>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</si>
  <si>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</si>
  <si>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</si>
  <si>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</si>
  <si>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</si>
  <si>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</si>
  <si>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</si>
  <si>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</si>
  <si>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</si>
  <si>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</si>
  <si>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</si>
  <si>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</si>
  <si>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</si>
  <si>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</si>
  <si>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</si>
  <si>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</si>
  <si>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</si>
  <si>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</si>
  <si>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</si>
  <si>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</si>
  <si>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</si>
  <si>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</si>
  <si>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</si>
  <si>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</si>
  <si>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</si>
  <si>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</si>
  <si>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</si>
  <si>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</si>
  <si>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</si>
  <si>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</si>
  <si>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</si>
  <si>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</si>
  <si>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</si>
  <si>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</si>
  <si>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</si>
  <si>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</si>
  <si>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</si>
  <si>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</si>
  <si>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</si>
  <si>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</si>
  <si>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</si>
  <si>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</si>
  <si>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</si>
  <si>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</si>
  <si>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</si>
  <si>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</si>
  <si>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</si>
  <si>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</si>
  <si>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</si>
  <si>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</si>
  <si>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</si>
  <si>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</si>
  <si>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</si>
  <si>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</si>
  <si>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</si>
  <si>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</si>
  <si>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</si>
  <si>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</si>
  <si>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</si>
  <si>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</si>
  <si>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</si>
  <si>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</si>
  <si>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</si>
  <si>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</si>
  <si>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</si>
  <si>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</si>
  <si>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</si>
  <si>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</si>
  <si>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</si>
  <si>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</si>
  <si>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</si>
  <si>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</si>
  <si>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</si>
  <si>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</si>
  <si>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</si>
  <si>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</si>
  <si>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</si>
  <si>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</si>
  <si>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</si>
  <si>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</si>
  <si>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</si>
  <si>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</si>
  <si>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</si>
  <si>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</si>
  <si>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</si>
  <si>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</si>
  <si>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</si>
  <si>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</si>
  <si>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</si>
  <si>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</si>
  <si>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</si>
  <si>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</si>
  <si>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</si>
  <si>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</si>
  <si>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</si>
  <si>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</si>
  <si>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</si>
  <si>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</si>
  <si>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</si>
  <si>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</si>
  <si>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</si>
  <si>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</si>
  <si>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</si>
  <si>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</si>
  <si>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</si>
  <si>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</si>
  <si>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</si>
  <si>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</si>
  <si>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</si>
  <si>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</si>
  <si>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</si>
  <si>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</si>
  <si>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</si>
  <si>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</si>
  <si>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</si>
  <si>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</si>
  <si>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</si>
  <si>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</si>
  <si>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</si>
  <si>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</si>
  <si>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</si>
  <si>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</si>
  <si>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</si>
  <si>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</si>
  <si>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</si>
  <si>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</si>
  <si>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</si>
  <si>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</si>
  <si>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</si>
  <si>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</si>
  <si>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</si>
  <si>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</si>
  <si>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</si>
  <si>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</si>
  <si>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</si>
  <si>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</si>
  <si>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</si>
  <si>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</si>
  <si>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</si>
  <si>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</si>
  <si>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</si>
  <si>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</si>
  <si>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</si>
  <si>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</si>
  <si>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</si>
  <si>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</si>
  <si>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</si>
  <si>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</si>
  <si>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</si>
  <si>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</si>
  <si>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</si>
  <si>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</si>
  <si>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</si>
  <si>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</si>
  <si>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</si>
  <si>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</si>
  <si>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</si>
  <si>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</si>
  <si>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</si>
  <si>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</si>
  <si>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</si>
  <si>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</si>
  <si>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</si>
  <si>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</si>
  <si>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</si>
  <si>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</si>
  <si>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</si>
  <si>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</si>
  <si>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</si>
  <si>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</si>
  <si>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</si>
  <si>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</si>
  <si>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</si>
  <si>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</si>
  <si>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</si>
  <si>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</si>
  <si>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</si>
  <si>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</si>
  <si>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</si>
  <si>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</si>
  <si>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</si>
  <si>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</si>
  <si>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</si>
  <si>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</si>
  <si>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</si>
  <si>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</si>
  <si>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</si>
  <si>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</si>
  <si>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</si>
  <si>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</si>
  <si>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</si>
  <si>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</si>
  <si>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</si>
  <si>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</si>
  <si>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</si>
  <si>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</si>
  <si>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</si>
  <si>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</si>
  <si>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</si>
  <si>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</si>
  <si>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</si>
  <si>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</si>
  <si>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</si>
  <si>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</si>
  <si>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</si>
  <si>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</si>
  <si>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</si>
  <si>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</si>
  <si>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</si>
  <si>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</si>
  <si>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</si>
  <si>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</si>
  <si>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</si>
  <si>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</si>
  <si>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</si>
  <si>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</si>
  <si>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</si>
  <si>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</si>
  <si>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</si>
  <si>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</si>
  <si>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</si>
  <si>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</si>
  <si>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</si>
  <si>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</si>
  <si>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</si>
  <si>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</si>
  <si>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</si>
  <si>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</si>
  <si>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</si>
  <si>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</si>
  <si>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</si>
  <si>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</si>
  <si>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</si>
  <si>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</si>
  <si>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</si>
  <si>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</si>
  <si>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</si>
  <si>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</si>
  <si>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</si>
  <si>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</si>
  <si>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</si>
  <si>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</si>
  <si>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</si>
  <si>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</si>
  <si>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</si>
  <si>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</si>
  <si>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</si>
  <si>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</si>
  <si>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</si>
  <si>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</si>
  <si>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</si>
  <si>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</si>
  <si>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</si>
  <si>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</si>
  <si>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</si>
  <si>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</si>
  <si>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</si>
  <si>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</si>
  <si>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</si>
  <si>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</si>
  <si>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</si>
  <si>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</si>
  <si>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</si>
  <si>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</si>
  <si>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</si>
  <si>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</si>
  <si>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</si>
  <si>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</si>
  <si>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</si>
  <si>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</si>
  <si>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</si>
  <si>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</si>
  <si>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</si>
  <si>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</si>
  <si>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</si>
  <si>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</si>
  <si>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</si>
  <si>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</si>
  <si>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</si>
  <si>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</si>
  <si>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</si>
  <si>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</si>
  <si>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</si>
  <si>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</si>
  <si>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</si>
  <si>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</si>
  <si>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</si>
  <si>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</si>
  <si>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</si>
  <si>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</si>
  <si>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</si>
  <si>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</si>
  <si>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</si>
  <si>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</si>
  <si>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</si>
  <si>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</si>
  <si>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</si>
  <si>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</si>
  <si>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</si>
  <si>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</si>
  <si>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</si>
  <si>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</si>
  <si>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</si>
  <si>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</si>
  <si>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</si>
  <si>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</si>
  <si>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</si>
  <si>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</si>
  <si>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</si>
  <si>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</si>
  <si>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</si>
  <si>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</si>
  <si>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</si>
  <si>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</si>
  <si>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</si>
  <si>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</si>
  <si>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</si>
  <si>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</si>
  <si>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</si>
  <si>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</si>
  <si>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</si>
  <si>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</si>
  <si>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</si>
  <si>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</si>
  <si>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</si>
  <si>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</si>
  <si>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</si>
  <si>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</si>
  <si>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</si>
  <si>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</si>
  <si>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</si>
  <si>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</si>
  <si>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</si>
  <si>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</si>
  <si>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</si>
  <si>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</si>
  <si>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</si>
  <si>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</si>
  <si>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</si>
  <si>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</si>
  <si>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</si>
  <si>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</si>
  <si>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</si>
  <si>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</si>
  <si>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</si>
  <si>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</si>
  <si>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</si>
  <si>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</si>
  <si>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</si>
  <si>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</si>
  <si>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</si>
  <si>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</si>
  <si>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</si>
  <si>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</si>
  <si>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</si>
  <si>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</si>
  <si>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</si>
  <si>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</si>
  <si>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</si>
  <si>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</si>
  <si>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</si>
  <si>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</si>
  <si>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</si>
  <si>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</si>
  <si>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</si>
  <si>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</si>
  <si>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</si>
  <si>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</si>
  <si>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</si>
  <si>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</si>
  <si>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</si>
  <si>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</si>
  <si>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</si>
  <si>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</si>
  <si>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</si>
  <si>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</si>
  <si>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</si>
  <si>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</si>
  <si>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</si>
  <si>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</si>
  <si>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</si>
  <si>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</si>
  <si>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</si>
  <si>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</si>
  <si>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</si>
  <si>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</si>
  <si>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</si>
  <si>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</si>
  <si>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</si>
  <si>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</si>
  <si>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</si>
  <si>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</si>
  <si>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</si>
  <si>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</si>
  <si>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</si>
  <si>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</si>
  <si>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</si>
  <si>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</si>
  <si>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</si>
  <si>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</si>
  <si>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</si>
  <si>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</si>
  <si>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</si>
  <si>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</si>
  <si>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</si>
  <si>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</si>
  <si>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</si>
  <si>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</si>
  <si>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</si>
  <si>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</si>
  <si>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</si>
  <si>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</si>
  <si>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</si>
  <si>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</si>
  <si>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</si>
  <si>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</si>
  <si>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</si>
  <si>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</si>
  <si>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</si>
  <si>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</si>
  <si>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</si>
  <si>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</si>
  <si>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</si>
  <si>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</si>
  <si>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</si>
  <si>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</si>
  <si>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</si>
  <si>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</si>
  <si>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</si>
  <si>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</si>
  <si>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</si>
  <si>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</si>
  <si>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</si>
  <si>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</si>
  <si>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</si>
  <si>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</si>
  <si>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</si>
  <si>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</si>
  <si>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</si>
  <si>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</si>
  <si>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</si>
  <si>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</si>
  <si>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</si>
  <si>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</si>
  <si>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</si>
  <si>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</si>
  <si>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</si>
  <si>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</si>
  <si>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</si>
  <si>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</si>
  <si>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</si>
  <si>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</si>
  <si>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</si>
  <si>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</si>
  <si>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</si>
  <si>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</si>
  <si>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</si>
  <si>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</si>
  <si>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</si>
  <si>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</si>
  <si>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</si>
  <si>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</si>
  <si>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</si>
  <si>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</si>
  <si>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</si>
  <si>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</si>
  <si>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</si>
  <si>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</si>
  <si>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</si>
  <si>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</si>
  <si>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</si>
  <si>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</si>
  <si>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</si>
  <si>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</si>
  <si>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</si>
  <si>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</si>
  <si>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</si>
  <si>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</si>
  <si>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</si>
  <si>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</si>
  <si>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</si>
  <si>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</si>
  <si>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</si>
  <si>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</si>
  <si>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</si>
  <si>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</si>
  <si>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</si>
  <si>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</si>
  <si>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</si>
  <si>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</si>
  <si>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</si>
  <si>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</si>
  <si>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</si>
  <si>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</si>
  <si>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</si>
  <si>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</si>
  <si>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</si>
  <si>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</si>
  <si>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</si>
  <si>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</si>
  <si>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</si>
  <si>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</si>
  <si>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</si>
  <si>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</si>
  <si>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</si>
  <si>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</si>
  <si>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</si>
  <si>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</si>
  <si>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</si>
  <si>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</si>
  <si>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</si>
  <si>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</si>
  <si>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</si>
  <si>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</si>
  <si>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</si>
  <si>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</si>
  <si>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</si>
  <si>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</si>
  <si>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</si>
  <si>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</si>
  <si>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</si>
  <si>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</si>
  <si>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</si>
  <si>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</si>
  <si>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</si>
  <si>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</si>
  <si>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</si>
  <si>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</si>
  <si>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</si>
  <si>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</si>
  <si>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</si>
  <si>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</si>
  <si>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</si>
  <si>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</si>
  <si>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</si>
  <si>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</si>
  <si>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</si>
  <si>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</si>
  <si>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</si>
  <si>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</si>
  <si>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</si>
  <si>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</si>
  <si>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</si>
  <si>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</si>
  <si>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</si>
  <si>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</si>
  <si>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</si>
  <si>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</si>
  <si>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</si>
  <si>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</si>
  <si>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</si>
  <si>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</si>
  <si>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</si>
  <si>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</si>
  <si>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</si>
  <si>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</si>
  <si>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</si>
  <si>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</si>
  <si>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</si>
  <si>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</si>
  <si>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</si>
  <si>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</si>
  <si>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</si>
  <si>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</si>
  <si>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</si>
  <si>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</si>
  <si>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</si>
  <si>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</si>
  <si>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</si>
  <si>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</si>
  <si>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</si>
  <si>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</si>
  <si>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</si>
  <si>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</si>
  <si>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</si>
  <si>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</si>
  <si>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</si>
  <si>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</si>
  <si>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</si>
  <si>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</si>
  <si>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</si>
  <si>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</si>
  <si>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</si>
  <si>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</si>
  <si>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</si>
  <si>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</si>
  <si>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</si>
  <si>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</si>
  <si>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</si>
  <si>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</si>
  <si>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</si>
  <si>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</si>
  <si>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</si>
  <si>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</si>
  <si>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</si>
  <si>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</si>
  <si>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</si>
  <si>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</si>
  <si>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</si>
  <si>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</si>
  <si>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</si>
  <si>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</si>
  <si>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</si>
  <si>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</si>
  <si>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</si>
  <si>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</si>
  <si>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</si>
  <si>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</si>
  <si>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</si>
  <si>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</si>
  <si>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</si>
  <si>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</si>
  <si>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</si>
  <si>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</si>
  <si>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</si>
  <si>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</si>
  <si>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</si>
  <si>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</si>
  <si>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</si>
  <si>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</si>
  <si>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</si>
  <si>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</si>
  <si>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</si>
  <si>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</si>
  <si>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</si>
  <si>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</si>
  <si>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</si>
  <si>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</si>
  <si>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</si>
  <si>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</si>
  <si>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</si>
  <si>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</si>
  <si>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</si>
  <si>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</si>
  <si>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</si>
  <si>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</si>
  <si>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</si>
  <si>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</si>
  <si>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</si>
  <si>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</si>
  <si>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</si>
  <si>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</si>
  <si>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</si>
  <si>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</si>
  <si>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</si>
  <si>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</si>
  <si>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</si>
  <si>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</si>
  <si>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</si>
  <si>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</si>
  <si>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</si>
  <si>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</si>
  <si>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</si>
  <si>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</si>
  <si>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</si>
  <si>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</si>
  <si>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</si>
  <si>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</si>
  <si>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</si>
  <si>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</si>
  <si>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</si>
  <si>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</si>
  <si>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</si>
  <si>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</si>
  <si>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</si>
  <si>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</si>
  <si>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</si>
  <si>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</si>
  <si>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</si>
  <si>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</si>
  <si>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</si>
  <si>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</si>
  <si>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</si>
  <si>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</si>
  <si>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</si>
  <si>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</si>
  <si>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</si>
  <si>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</si>
  <si>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</si>
  <si>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</si>
  <si>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</si>
  <si>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</si>
  <si>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</si>
  <si>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</si>
  <si>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</si>
  <si>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</si>
  <si>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</si>
  <si>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</si>
  <si>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</si>
  <si>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</si>
  <si>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</si>
  <si>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</si>
  <si>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</si>
  <si>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</si>
  <si>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</si>
  <si>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</si>
  <si>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</si>
  <si>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</si>
  <si>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</si>
  <si>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</si>
  <si>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</si>
  <si>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</si>
  <si>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</si>
  <si>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</si>
  <si>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</si>
  <si>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</si>
  <si>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</si>
  <si>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</si>
  <si>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</si>
  <si>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</si>
  <si>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</si>
  <si>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</si>
  <si>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</si>
  <si>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</si>
  <si>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</si>
  <si>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</si>
  <si>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</si>
  <si>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</si>
  <si>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</si>
  <si>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</si>
  <si>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</si>
  <si>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</si>
  <si>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</si>
  <si>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</si>
  <si>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</si>
  <si>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</si>
  <si>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</si>
  <si>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</si>
  <si>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</si>
  <si>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</si>
  <si>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</si>
  <si>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</si>
  <si>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</si>
  <si>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</si>
  <si>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</si>
  <si>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</si>
  <si>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</si>
  <si>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</si>
  <si>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</si>
  <si>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</si>
  <si>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</si>
  <si>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</si>
  <si>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</si>
  <si>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</si>
  <si>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</si>
  <si>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</si>
  <si>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</si>
  <si>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</si>
  <si>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</si>
  <si>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</si>
  <si>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</si>
  <si>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</si>
  <si>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</si>
  <si>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</si>
  <si>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</si>
  <si>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</si>
  <si>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</si>
  <si>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</si>
  <si>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</si>
  <si>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</si>
  <si>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</si>
  <si>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</si>
  <si>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</si>
  <si>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</si>
  <si>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</si>
  <si>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</si>
  <si>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</si>
  <si>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</si>
  <si>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</si>
  <si>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</si>
  <si>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</si>
  <si>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</si>
  <si>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</si>
  <si>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</si>
  <si>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</si>
  <si>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</si>
  <si>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</si>
  <si>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</si>
  <si>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</si>
  <si>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</si>
  <si>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</si>
  <si>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</si>
  <si>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</si>
  <si>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</si>
  <si>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</si>
  <si>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</si>
  <si>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</si>
  <si>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</si>
  <si>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</si>
  <si>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</si>
  <si>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</si>
  <si>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</si>
  <si>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</si>
  <si>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</si>
  <si>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</si>
  <si>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</si>
  <si>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</si>
  <si>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</si>
  <si>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</si>
  <si>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</si>
  <si>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</si>
  <si>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</si>
  <si>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</si>
  <si>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</si>
  <si>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</si>
  <si>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</si>
  <si>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</si>
  <si>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</si>
  <si>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</si>
  <si>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</si>
  <si>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</si>
  <si>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</si>
  <si>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</si>
  <si>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</si>
  <si>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</si>
  <si>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</si>
  <si>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</si>
  <si>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</si>
  <si>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</si>
  <si>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</si>
  <si>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</si>
  <si>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</si>
  <si>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</si>
  <si>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</si>
  <si>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</si>
  <si>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</si>
  <si>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</si>
  <si>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</si>
  <si>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</si>
  <si>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</si>
  <si>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</si>
  <si>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</si>
  <si>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</si>
  <si>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</si>
  <si>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</si>
  <si>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</si>
  <si>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</si>
  <si>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</si>
  <si>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</si>
  <si>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</si>
  <si>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</si>
  <si>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</si>
  <si>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</si>
  <si>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</si>
  <si>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</si>
  <si>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</si>
  <si>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</si>
  <si>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</si>
  <si>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</si>
  <si>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</si>
  <si>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</si>
  <si>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</si>
  <si>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</si>
  <si>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</si>
  <si>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</si>
  <si>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</si>
  <si>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</si>
  <si>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</si>
  <si>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</si>
  <si>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</si>
  <si>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</si>
  <si>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</si>
  <si>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</si>
  <si>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</si>
  <si>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</si>
  <si>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</si>
  <si>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</si>
  <si>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</si>
  <si>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</si>
  <si>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</si>
  <si>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</si>
  <si>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</si>
  <si>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</si>
  <si>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</si>
  <si>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</si>
  <si>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</si>
  <si>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</si>
  <si>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</si>
  <si>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</si>
  <si>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</si>
  <si>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</si>
  <si>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</si>
  <si>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</si>
  <si>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</si>
  <si>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</si>
  <si>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</si>
  <si>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</si>
  <si>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</si>
  <si>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</si>
  <si>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</si>
  <si>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</si>
  <si>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</si>
  <si>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</si>
  <si>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</si>
  <si>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</si>
  <si>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</si>
  <si>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</si>
  <si>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</si>
  <si>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</si>
  <si>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</si>
  <si>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</si>
  <si>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</si>
  <si>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</si>
  <si>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</si>
  <si>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</si>
  <si>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</si>
  <si>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</si>
  <si>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</si>
  <si>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</si>
  <si>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</si>
  <si>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</si>
  <si>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</si>
  <si>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</si>
  <si>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</si>
  <si>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</si>
  <si>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</si>
  <si>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</si>
  <si>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</si>
  <si>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</si>
  <si>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</si>
  <si>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</si>
  <si>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</si>
  <si>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</si>
  <si>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</si>
  <si>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</si>
  <si>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</si>
  <si>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</si>
  <si>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</si>
  <si>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</si>
  <si>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</si>
  <si>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</si>
  <si>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</si>
  <si>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</si>
  <si>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</si>
  <si>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</si>
  <si>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</si>
  <si>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</si>
  <si>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</si>
  <si>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</si>
  <si>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</si>
  <si>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</si>
  <si>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</si>
  <si>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</si>
  <si>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</si>
  <si>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</si>
  <si>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</si>
  <si>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</si>
  <si>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</si>
  <si>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</si>
  <si>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</si>
  <si>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</si>
  <si>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</si>
  <si>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</si>
  <si>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</si>
  <si>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</si>
  <si>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</si>
  <si>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</si>
  <si>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</si>
  <si>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</si>
  <si>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</si>
  <si>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</si>
  <si>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</si>
  <si>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</si>
  <si>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</si>
  <si>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</si>
  <si>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</si>
  <si>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</si>
  <si>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</si>
  <si>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</si>
  <si>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</si>
  <si>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</si>
  <si>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</si>
  <si>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</si>
  <si>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</si>
  <si>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</si>
  <si>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</si>
  <si>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</si>
  <si>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</si>
  <si>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</si>
  <si>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</si>
  <si>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</si>
  <si>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</si>
  <si>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</si>
  <si>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</si>
  <si>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</si>
  <si>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</si>
  <si>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</si>
  <si>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</si>
  <si>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</si>
  <si>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</si>
  <si>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</si>
  <si>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</si>
  <si>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</si>
  <si>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</si>
  <si>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</si>
  <si>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</si>
  <si>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</si>
  <si>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</si>
  <si>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</si>
  <si>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</si>
  <si>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</si>
  <si>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</si>
  <si>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</si>
  <si>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</si>
  <si>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</si>
  <si>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</si>
  <si>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</si>
  <si>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</si>
  <si>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</si>
  <si>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</si>
  <si>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</si>
  <si>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</si>
  <si>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</si>
  <si>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</si>
  <si>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</si>
  <si>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</si>
  <si>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</si>
  <si>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</si>
  <si>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</si>
  <si>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</si>
  <si>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</si>
  <si>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</si>
  <si>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</si>
  <si>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</si>
  <si>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</si>
  <si>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</si>
  <si>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</si>
  <si>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</si>
  <si>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</si>
  <si>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</si>
  <si>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</si>
  <si>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</si>
  <si>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</si>
  <si>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</si>
  <si>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</si>
  <si>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</si>
  <si>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</si>
  <si>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</si>
  <si>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</si>
  <si>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</si>
  <si>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</si>
  <si>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</si>
  <si>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</si>
  <si>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</si>
  <si>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</si>
  <si>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</si>
  <si>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</si>
  <si>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</si>
  <si>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</si>
  <si>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</si>
  <si>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</si>
  <si>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</si>
  <si>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</si>
  <si>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</si>
  <si>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</si>
  <si>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</si>
  <si>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</si>
  <si>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</si>
  <si>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</si>
  <si>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</si>
  <si>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</si>
  <si>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</si>
  <si>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</si>
  <si>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</si>
  <si>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</si>
  <si>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</si>
  <si>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</si>
  <si>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</si>
  <si>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</si>
  <si>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</si>
  <si>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</si>
  <si>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</si>
  <si>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</si>
  <si>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</si>
  <si>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</si>
  <si>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</si>
  <si>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</si>
  <si>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</si>
  <si>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</si>
  <si>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</si>
  <si>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</si>
  <si>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</si>
  <si>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</si>
  <si>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</si>
  <si>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</si>
  <si>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</si>
  <si>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</si>
  <si>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</si>
  <si>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</si>
  <si>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</si>
  <si>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</si>
  <si>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</si>
  <si>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</si>
  <si>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</si>
  <si>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</si>
  <si>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</si>
  <si>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</si>
  <si>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</si>
  <si>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</si>
  <si>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</si>
  <si>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</si>
  <si>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</si>
  <si>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</si>
  <si>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</si>
  <si>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</si>
  <si>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</si>
  <si>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</si>
  <si>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</si>
  <si>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</si>
  <si>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</si>
  <si>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</si>
  <si>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</si>
  <si>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</si>
  <si>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</si>
  <si>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</si>
  <si>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</si>
  <si>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</si>
  <si>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</si>
  <si>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</si>
  <si>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</si>
  <si>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</si>
  <si>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</si>
  <si>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</si>
  <si>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</si>
  <si>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</si>
  <si>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</si>
  <si>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</si>
  <si>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</si>
  <si>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</si>
  <si>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</si>
  <si>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</si>
  <si>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</si>
  <si>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</si>
  <si>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</si>
  <si>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</si>
  <si>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</si>
  <si>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</si>
  <si>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</si>
  <si>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</si>
  <si>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</si>
  <si>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</si>
  <si>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</si>
  <si>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</si>
  <si>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</si>
  <si>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</si>
  <si>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</si>
  <si>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</si>
  <si>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</si>
  <si>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</si>
  <si>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</si>
  <si>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</si>
  <si>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</si>
  <si>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</si>
  <si>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</si>
  <si>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</si>
  <si>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</si>
  <si>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</si>
  <si>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</si>
  <si>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</si>
  <si>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</si>
  <si>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</si>
  <si>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</si>
  <si>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</si>
  <si>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</si>
  <si>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</si>
  <si>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</si>
  <si>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</si>
  <si>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</si>
  <si>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</si>
  <si>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</si>
  <si>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</si>
  <si>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</si>
  <si>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</si>
  <si>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</si>
  <si>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</si>
  <si>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</si>
  <si>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</si>
  <si>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</si>
  <si>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</si>
  <si>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</si>
  <si>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</si>
  <si>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</si>
  <si>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</si>
  <si>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</si>
  <si>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</si>
  <si>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</si>
  <si>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</si>
  <si>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</si>
  <si>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</si>
  <si>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</si>
  <si>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</si>
  <si>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</si>
  <si>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</si>
  <si>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</si>
  <si>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</si>
  <si>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</si>
  <si>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</si>
  <si>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</si>
  <si>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</si>
  <si>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</si>
  <si>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</si>
  <si>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</si>
  <si>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</si>
  <si>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</si>
  <si>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</si>
  <si>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</si>
  <si>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</si>
  <si>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</si>
  <si>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</si>
  <si>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</si>
  <si>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</si>
  <si>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</si>
  <si>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</si>
  <si>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</si>
  <si>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</si>
  <si>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</si>
  <si>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</si>
  <si>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</si>
  <si>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</si>
  <si>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</si>
  <si>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</si>
  <si>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</si>
  <si>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</si>
  <si>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</si>
  <si>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</si>
  <si>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</si>
  <si>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</si>
  <si>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</si>
  <si>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</si>
  <si>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</si>
  <si>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</si>
  <si>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</si>
  <si>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</si>
  <si>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</si>
  <si>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</si>
  <si>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</si>
  <si>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</si>
  <si>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</si>
  <si>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</si>
  <si>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</si>
  <si>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</si>
  <si>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</si>
  <si>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</si>
  <si>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</si>
  <si>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</si>
  <si>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</si>
  <si>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</si>
  <si>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</si>
  <si>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</si>
  <si>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</si>
  <si>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</si>
  <si>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</si>
  <si>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</si>
  <si>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</si>
  <si>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</si>
  <si>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</si>
  <si>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</si>
  <si>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</si>
  <si>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</si>
  <si>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</si>
  <si>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</si>
  <si>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</si>
  <si>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</si>
  <si>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</si>
  <si>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</si>
  <si>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</si>
  <si>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</si>
  <si>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</si>
  <si>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</si>
  <si>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</si>
  <si>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</si>
  <si>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</si>
  <si>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</si>
  <si>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</si>
  <si>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</si>
  <si>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</si>
  <si>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</si>
  <si>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</si>
  <si>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</si>
  <si>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</si>
  <si>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</si>
  <si>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</si>
  <si>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</si>
  <si>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</si>
  <si>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</si>
  <si>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</si>
  <si>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</si>
  <si>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</si>
  <si>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</si>
  <si>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</si>
  <si>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</si>
  <si>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</si>
  <si>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</si>
  <si>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</si>
  <si>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</si>
  <si>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</si>
  <si>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</si>
  <si>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</si>
  <si>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</si>
  <si>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</si>
  <si>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</si>
  <si>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</si>
  <si>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</si>
  <si>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</si>
  <si>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</si>
  <si>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</si>
  <si>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</si>
  <si>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</si>
  <si>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</si>
  <si>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</si>
  <si>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</si>
  <si>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</si>
  <si>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</si>
  <si>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</si>
  <si>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</si>
  <si>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</si>
  <si>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</si>
  <si>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</si>
  <si>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</si>
  <si>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</si>
  <si>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</si>
  <si>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</si>
  <si>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</si>
  <si>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</si>
  <si>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</si>
  <si>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</si>
  <si>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</si>
  <si>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</si>
  <si>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</si>
  <si>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</si>
  <si>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</si>
  <si>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</si>
  <si>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</si>
  <si>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</si>
  <si>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</si>
  <si>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</si>
  <si>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</si>
  <si>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</si>
  <si>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</si>
  <si>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</si>
  <si>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</si>
  <si>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</si>
  <si>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</si>
  <si>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</si>
  <si>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</si>
  <si>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</si>
  <si>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</si>
  <si>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</si>
  <si>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</si>
  <si>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</si>
  <si>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</si>
  <si>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</si>
  <si>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</si>
  <si>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</si>
  <si>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</si>
  <si>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</si>
  <si>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</si>
  <si>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</si>
  <si>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</si>
  <si>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</si>
  <si>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</si>
  <si>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</si>
  <si>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</si>
  <si>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</si>
  <si>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</si>
  <si>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</si>
  <si>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</si>
  <si>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</si>
  <si>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</si>
  <si>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</si>
  <si>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</si>
  <si>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</si>
  <si>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</si>
  <si>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</si>
  <si>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</si>
  <si>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</si>
  <si>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</si>
  <si>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</si>
  <si>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</si>
  <si>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</si>
  <si>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</si>
  <si>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</si>
  <si>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</si>
  <si>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</si>
  <si>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</si>
  <si>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</si>
  <si>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</si>
  <si>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</si>
  <si>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</si>
  <si>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</si>
  <si>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</si>
  <si>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</si>
  <si>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</si>
  <si>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</si>
  <si>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</si>
  <si>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</si>
  <si>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</si>
  <si>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</si>
  <si>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</si>
  <si>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</si>
  <si>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</si>
  <si>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</si>
  <si>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</si>
  <si>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</si>
  <si>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</si>
  <si>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</si>
  <si>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</si>
  <si>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</si>
  <si>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</si>
  <si>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</si>
  <si>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</si>
  <si>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</si>
  <si>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</si>
  <si>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</si>
  <si>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</si>
  <si>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</si>
  <si>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</si>
  <si>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</si>
  <si>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</si>
  <si>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</si>
  <si>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</si>
  <si>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</si>
  <si>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</si>
  <si>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</si>
  <si>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</si>
  <si>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</si>
  <si>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</si>
  <si>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</si>
  <si>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</si>
  <si>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</si>
  <si>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</si>
  <si>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</si>
  <si>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</si>
  <si>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</si>
  <si>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</si>
  <si>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</si>
  <si>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</si>
  <si>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</si>
  <si>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</si>
  <si>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</si>
  <si>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</si>
  <si>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</si>
  <si>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</si>
  <si>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</si>
  <si>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</si>
  <si>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</si>
  <si>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</si>
  <si>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</si>
  <si>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</si>
  <si>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</si>
  <si>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</si>
  <si>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</si>
  <si>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</si>
  <si>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</si>
  <si>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</si>
  <si>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</si>
  <si>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</si>
  <si>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</si>
  <si>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</si>
  <si>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</si>
  <si>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</si>
  <si>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</si>
  <si>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</si>
  <si>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</si>
  <si>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</si>
  <si>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</si>
  <si>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</si>
  <si>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</si>
  <si>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</si>
  <si>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</si>
  <si>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</si>
  <si>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</si>
  <si>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</si>
  <si>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</si>
  <si>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</si>
  <si>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</si>
  <si>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</si>
  <si>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</si>
  <si>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</si>
  <si>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</si>
  <si>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</si>
  <si>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</si>
  <si>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</si>
  <si>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</si>
  <si>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</si>
  <si>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</si>
  <si>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</si>
  <si>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</si>
  <si>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</si>
  <si>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</si>
  <si>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</si>
  <si>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</si>
  <si>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</si>
  <si>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</si>
  <si>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</si>
  <si>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</si>
  <si>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</si>
  <si>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</si>
  <si>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</si>
  <si>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</si>
  <si>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</si>
  <si>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</si>
  <si>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</si>
  <si>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</si>
  <si>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</si>
  <si>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</si>
  <si>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</si>
  <si>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</si>
  <si>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</si>
  <si>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</si>
  <si>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</si>
  <si>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</si>
  <si>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</si>
  <si>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</si>
  <si>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</si>
  <si>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</si>
  <si>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</si>
  <si>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</si>
  <si>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</si>
  <si>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</si>
  <si>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</si>
  <si>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</si>
  <si>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</si>
  <si>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</si>
  <si>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</si>
  <si>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</si>
  <si>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</si>
  <si>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</si>
  <si>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</si>
  <si>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</si>
  <si>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</si>
  <si>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</si>
  <si>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</si>
  <si>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</si>
  <si>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</si>
  <si>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</si>
  <si>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</si>
  <si>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</si>
  <si>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</si>
  <si>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</si>
  <si>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</si>
  <si>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</si>
  <si>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</si>
  <si>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</si>
  <si>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</si>
  <si>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</si>
  <si>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</si>
  <si>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</si>
  <si>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</si>
  <si>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</si>
  <si>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</si>
  <si>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</si>
  <si>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</si>
  <si>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</si>
  <si>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</si>
  <si>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</si>
  <si>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</si>
  <si>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</si>
  <si>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</si>
  <si>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</si>
  <si>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</si>
  <si>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</si>
  <si>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</si>
  <si>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</si>
  <si>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</si>
  <si>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</si>
  <si>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</si>
  <si>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</si>
  <si>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</si>
  <si>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</si>
  <si>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</si>
  <si>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</si>
  <si>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</si>
  <si>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</si>
  <si>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</si>
  <si>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</si>
  <si>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</si>
  <si>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</si>
  <si>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</si>
  <si>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</si>
  <si>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</si>
  <si>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</si>
  <si>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</si>
  <si>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</si>
  <si>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</si>
  <si>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</si>
  <si>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</si>
  <si>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</si>
  <si>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</si>
  <si>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</si>
  <si>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</si>
  <si>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</si>
  <si>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</si>
  <si>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</si>
  <si>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</si>
  <si>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</si>
  <si>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</si>
  <si>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</si>
  <si>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</si>
  <si>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</si>
  <si>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</si>
  <si>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</si>
  <si>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</si>
  <si>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</si>
  <si>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</si>
  <si>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</si>
  <si>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</si>
  <si>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</si>
  <si>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</si>
  <si>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</si>
  <si>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</si>
  <si>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</si>
  <si>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</si>
  <si>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</si>
  <si>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</si>
  <si>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</si>
  <si>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</si>
  <si>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</si>
  <si>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</si>
  <si>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</si>
  <si>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</si>
  <si>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</si>
  <si>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</si>
  <si>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</si>
  <si>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</si>
  <si>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</si>
  <si>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</si>
  <si>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</si>
  <si>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</si>
  <si>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</si>
  <si>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</si>
  <si>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</si>
  <si>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</si>
  <si>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</si>
  <si>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</si>
  <si>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</si>
  <si>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</si>
  <si>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</si>
  <si>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</si>
  <si>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</si>
  <si>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</si>
  <si>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</si>
  <si>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</si>
  <si>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</si>
  <si>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</si>
  <si>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</si>
  <si>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</si>
  <si>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</si>
  <si>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</si>
  <si>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</si>
  <si>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</si>
  <si>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</si>
  <si>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</si>
  <si>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</si>
  <si>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</si>
  <si>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</si>
  <si>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</si>
  <si>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</si>
  <si>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</si>
  <si>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</si>
  <si>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</si>
  <si>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</si>
  <si>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</si>
  <si>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</si>
  <si>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</si>
  <si>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</si>
  <si>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</si>
  <si>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</si>
  <si>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</si>
  <si>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</si>
  <si>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</si>
  <si>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</si>
  <si>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</si>
  <si>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</si>
  <si>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</si>
  <si>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</si>
  <si>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</si>
  <si>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</si>
  <si>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</si>
  <si>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</si>
  <si>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</si>
  <si>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</si>
  <si>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</si>
  <si>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</si>
  <si>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</si>
  <si>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</si>
  <si>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</si>
  <si>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</si>
  <si>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</si>
  <si>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</si>
  <si>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</si>
  <si>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</si>
  <si>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</si>
  <si>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</si>
  <si>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</si>
  <si>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</si>
  <si>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</si>
  <si>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</si>
  <si>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</si>
  <si>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</si>
  <si>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</si>
  <si>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</si>
  <si>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</si>
  <si>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</si>
  <si>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</si>
  <si>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</si>
  <si>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</si>
  <si>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</si>
  <si>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</si>
  <si>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</si>
  <si>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</si>
  <si>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</si>
  <si>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</si>
  <si>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</si>
  <si>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</si>
  <si>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</si>
  <si>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</si>
  <si>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</si>
  <si>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</si>
  <si>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</si>
  <si>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</si>
  <si>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</si>
  <si>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</si>
  <si>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</si>
  <si>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</si>
  <si>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</si>
  <si>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</si>
  <si>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</si>
  <si>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</si>
  <si>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</si>
  <si>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</si>
  <si>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</si>
  <si>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</si>
  <si>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</si>
  <si>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</si>
  <si>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</si>
  <si>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</si>
  <si>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</si>
  <si>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</si>
  <si>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</si>
  <si>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</si>
  <si>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</si>
  <si>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</si>
  <si>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</si>
  <si>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</si>
  <si>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</si>
  <si>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</si>
  <si>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</si>
  <si>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</si>
  <si>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</si>
  <si>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</si>
  <si>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</si>
  <si>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</si>
  <si>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</si>
  <si>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</si>
  <si>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</si>
  <si>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</si>
  <si>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</si>
  <si>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</si>
  <si>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</si>
  <si>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</si>
  <si>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</si>
  <si>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</si>
  <si>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</si>
  <si>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</si>
  <si>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</si>
  <si>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</si>
  <si>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</si>
  <si>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</si>
  <si>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</si>
  <si>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</si>
  <si>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</si>
  <si>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</si>
  <si>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</si>
  <si>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</si>
  <si>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</si>
  <si>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</si>
  <si>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</si>
  <si>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</si>
  <si>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</si>
  <si>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</si>
  <si>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</si>
  <si>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</si>
  <si>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</si>
  <si>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</si>
  <si>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</si>
  <si>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</si>
  <si>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</si>
  <si>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</si>
  <si>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</si>
  <si>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</si>
  <si>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</si>
  <si>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</si>
  <si>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</si>
  <si>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</si>
  <si>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</si>
  <si>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</si>
  <si>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</si>
  <si>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</si>
  <si>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</si>
  <si>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</si>
  <si>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</si>
  <si>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</si>
  <si>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</si>
  <si>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</si>
  <si>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</si>
  <si>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</si>
  <si>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</si>
  <si>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</si>
  <si>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</si>
  <si>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</si>
  <si>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</si>
  <si>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</si>
  <si>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</si>
  <si>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</si>
  <si>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</si>
  <si>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</si>
  <si>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</si>
  <si>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</si>
  <si>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</si>
  <si>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</si>
  <si>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</si>
  <si>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</si>
  <si>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</si>
  <si>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</si>
  <si>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</si>
  <si>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</si>
  <si>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</si>
  <si>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</si>
  <si>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</si>
  <si>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</si>
  <si>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</si>
  <si>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</si>
  <si>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</si>
  <si>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</si>
  <si>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</si>
  <si>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</si>
  <si>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</si>
  <si>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</si>
  <si>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</si>
  <si>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</si>
  <si>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</si>
  <si>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</si>
  <si>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</si>
  <si>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</si>
  <si>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</si>
  <si>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</si>
  <si>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</si>
  <si>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</si>
  <si>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</si>
  <si>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</si>
  <si>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</si>
  <si>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</si>
  <si>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</si>
  <si>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</si>
  <si>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</si>
  <si>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</si>
  <si>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</si>
  <si>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</si>
  <si>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</si>
  <si>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</si>
  <si>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</si>
  <si>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</si>
  <si>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</si>
  <si>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</si>
  <si>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</si>
  <si>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</si>
  <si>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</si>
  <si>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</si>
  <si>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</si>
  <si>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</si>
  <si>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</si>
  <si>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</si>
  <si>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</si>
  <si>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</si>
  <si>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</si>
  <si>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</si>
  <si>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</si>
  <si>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</si>
  <si>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</si>
  <si>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</si>
  <si>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</si>
  <si>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</si>
  <si>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</si>
  <si>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</si>
  <si>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</si>
  <si>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</si>
  <si>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</si>
  <si>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</si>
  <si>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</si>
  <si>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</si>
  <si>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</si>
  <si>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</si>
  <si>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</si>
  <si>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</si>
  <si>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</si>
  <si>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</si>
  <si>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</si>
  <si>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</si>
  <si>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</si>
  <si>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</si>
  <si>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</si>
  <si>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</si>
  <si>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</si>
  <si>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</si>
  <si>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</si>
  <si>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</si>
  <si>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</si>
  <si>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</si>
  <si>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</si>
  <si>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</si>
  <si>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</si>
  <si>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</si>
  <si>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</si>
  <si>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</si>
  <si>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</si>
  <si>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</si>
  <si>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</si>
  <si>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</si>
  <si>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</si>
  <si>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</si>
  <si>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</si>
  <si>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</si>
  <si>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</si>
  <si>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</si>
  <si>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</si>
  <si>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</si>
  <si>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</si>
  <si>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</si>
  <si>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</si>
  <si>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</si>
  <si>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</si>
  <si>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</si>
  <si>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</si>
  <si>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</si>
  <si>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</si>
  <si>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</si>
  <si>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</si>
  <si>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</si>
  <si>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</si>
  <si>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</si>
  <si>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</si>
  <si>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</si>
  <si>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</si>
  <si>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</si>
  <si>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</si>
  <si>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</si>
  <si>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</si>
  <si>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</si>
  <si>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</si>
  <si>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</si>
  <si>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</si>
  <si>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</si>
  <si>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</si>
  <si>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</si>
  <si>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</si>
  <si>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</si>
  <si>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</si>
  <si>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</si>
  <si>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</si>
  <si>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</si>
  <si>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</si>
  <si>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</si>
  <si>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</si>
  <si>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</si>
  <si>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</si>
  <si>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</si>
  <si>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</si>
  <si>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</si>
  <si>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</si>
  <si>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</si>
  <si>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</si>
  <si>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</si>
  <si>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</si>
  <si>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</si>
  <si>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</si>
  <si>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</si>
  <si>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</si>
  <si>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</si>
  <si>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</si>
  <si>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</si>
  <si>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</si>
  <si>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</si>
  <si>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</si>
  <si>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</si>
  <si>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</si>
  <si>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</si>
  <si>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</si>
  <si>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</si>
  <si>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</si>
  <si>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</si>
  <si>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</si>
  <si>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</si>
  <si>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</si>
  <si>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</si>
  <si>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</si>
  <si>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</si>
  <si>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</si>
  <si>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</si>
  <si>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</si>
  <si>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</si>
  <si>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</si>
  <si>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</si>
  <si>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</si>
  <si>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</si>
  <si>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</si>
  <si>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</si>
  <si>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</si>
  <si>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</si>
  <si>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</si>
  <si>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</si>
  <si>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</si>
  <si>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</si>
  <si>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</si>
  <si>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</si>
  <si>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</si>
  <si>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</si>
  <si>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</si>
  <si>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</si>
  <si>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</si>
  <si>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</si>
  <si>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</si>
  <si>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</si>
  <si>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</si>
  <si>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</si>
  <si>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</si>
  <si>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</si>
  <si>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</si>
  <si>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</si>
  <si>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</si>
  <si>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</si>
  <si>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</si>
  <si>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</si>
  <si>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</si>
  <si>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</si>
  <si>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</si>
  <si>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</si>
  <si>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</si>
  <si>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</si>
  <si>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</si>
  <si>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</si>
  <si>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</si>
  <si>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</si>
  <si>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</si>
  <si>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</si>
  <si>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</si>
  <si>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</si>
  <si>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</si>
  <si>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</si>
  <si>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</si>
  <si>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</si>
  <si>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</si>
  <si>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</si>
  <si>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</si>
  <si>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</si>
  <si>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</si>
  <si>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</si>
  <si>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</si>
  <si>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</si>
  <si>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</si>
  <si>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</si>
  <si>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</si>
  <si>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</si>
  <si>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</si>
  <si>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</si>
  <si>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</si>
  <si>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</si>
  <si>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</si>
  <si>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</si>
  <si>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</si>
  <si>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</si>
  <si>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</si>
  <si>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</si>
  <si>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</si>
  <si>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</si>
  <si>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</si>
  <si>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</si>
  <si>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</si>
  <si>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</si>
  <si>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</si>
  <si>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</si>
  <si>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</si>
  <si>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</si>
  <si>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</si>
  <si>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</si>
  <si>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</si>
  <si>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</si>
  <si>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</si>
  <si>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</si>
  <si>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</si>
  <si>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</si>
  <si>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</si>
  <si>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</si>
  <si>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</si>
  <si>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</si>
  <si>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</si>
  <si>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</si>
  <si>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</si>
  <si>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</si>
  <si>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</si>
  <si>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</si>
  <si>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</si>
  <si>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</si>
  <si>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</si>
  <si>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</si>
  <si>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</si>
  <si>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</si>
  <si>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</si>
  <si>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</si>
  <si>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</si>
  <si>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</si>
  <si>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</si>
  <si>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</si>
  <si>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</si>
  <si>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</si>
  <si>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</si>
  <si>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</si>
  <si>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</si>
  <si>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</si>
  <si>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</si>
  <si>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</si>
  <si>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</si>
  <si>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</si>
  <si>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</si>
  <si>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</si>
  <si>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</si>
  <si>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</si>
  <si>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</si>
  <si>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</si>
  <si>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</si>
  <si>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</si>
  <si>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</si>
  <si>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</si>
  <si>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</si>
  <si>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</si>
  <si>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</si>
  <si>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</si>
  <si>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</si>
  <si>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</si>
  <si>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</si>
  <si>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</si>
  <si>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</si>
  <si>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</si>
  <si>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</si>
  <si>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</si>
  <si>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</si>
  <si>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</si>
  <si>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</si>
  <si>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</si>
  <si>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</si>
  <si>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</si>
  <si>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</si>
  <si>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</si>
  <si>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</si>
  <si>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</si>
  <si>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</si>
  <si>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</si>
  <si>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</si>
  <si>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</si>
  <si>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</si>
  <si>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</si>
  <si>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</si>
  <si>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</si>
  <si>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</si>
  <si>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</si>
  <si>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</si>
  <si>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</si>
  <si>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</si>
  <si>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</si>
  <si>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</si>
  <si>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</si>
  <si>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</si>
  <si>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</si>
  <si>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</si>
  <si>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</si>
  <si>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</si>
  <si>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</si>
  <si>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</si>
  <si>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</si>
  <si>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</si>
  <si>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</si>
  <si>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</si>
  <si>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</si>
  <si>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</si>
  <si>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</si>
  <si>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</si>
  <si>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</si>
  <si>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</si>
  <si>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</si>
  <si>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</si>
  <si>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</si>
  <si>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</si>
  <si>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</si>
  <si>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</si>
  <si>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</si>
  <si>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</si>
  <si>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</si>
  <si>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</si>
  <si>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</si>
  <si>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</si>
  <si>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</si>
  <si>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</si>
  <si>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</si>
  <si>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</si>
  <si>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</si>
  <si>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</si>
  <si>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</si>
  <si>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</si>
  <si>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</si>
  <si>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</si>
  <si>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</si>
  <si>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</si>
  <si>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</si>
  <si>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</si>
  <si>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</si>
  <si>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</si>
  <si>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</si>
  <si>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</si>
  <si>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</si>
  <si>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</si>
  <si>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</si>
  <si>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</si>
  <si>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</si>
  <si>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</si>
  <si>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</si>
  <si>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</si>
  <si>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</si>
  <si>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</si>
  <si>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</si>
  <si>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</si>
  <si>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</si>
  <si>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</si>
  <si>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</si>
  <si>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</si>
  <si>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</si>
  <si>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</si>
  <si>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</si>
  <si>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</si>
  <si>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</si>
  <si>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</si>
  <si>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</si>
  <si>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</si>
  <si>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</si>
  <si>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</si>
  <si>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</si>
  <si>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</si>
  <si>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</si>
  <si>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</si>
  <si>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</si>
  <si>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</si>
  <si>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</si>
  <si>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</si>
  <si>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</si>
  <si>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</si>
  <si>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</si>
  <si>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</si>
  <si>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</si>
  <si>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</si>
  <si>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</si>
  <si>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</si>
  <si>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</si>
  <si>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</si>
  <si>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</si>
  <si>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</si>
  <si>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</si>
  <si>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</si>
  <si>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</si>
  <si>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</si>
  <si>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</si>
  <si>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</si>
  <si>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</si>
  <si>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</si>
  <si>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</si>
  <si>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</si>
  <si>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</si>
  <si>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</si>
  <si>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</si>
  <si>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</si>
  <si>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</si>
  <si>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</si>
  <si>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</si>
  <si>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</si>
  <si>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</si>
  <si>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</si>
  <si>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</si>
  <si>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</si>
  <si>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</si>
  <si>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</si>
  <si>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</si>
  <si>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</si>
  <si>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</si>
  <si>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</si>
  <si>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</si>
  <si>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</si>
  <si>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</si>
  <si>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</si>
  <si>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</si>
  <si>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</si>
  <si>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</si>
  <si>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</si>
  <si>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</si>
  <si>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</si>
  <si>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</si>
  <si>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</si>
  <si>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</si>
  <si>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</si>
  <si>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</si>
  <si>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</si>
  <si>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</si>
  <si>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</si>
  <si>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</si>
  <si>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</si>
  <si>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</si>
  <si>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</si>
  <si>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</si>
  <si>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</si>
  <si>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</si>
  <si>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</si>
  <si>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</si>
  <si>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</si>
  <si>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</si>
  <si>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</si>
  <si>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</si>
  <si>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</si>
  <si>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</si>
  <si>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</si>
  <si>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</si>
  <si>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</si>
  <si>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</si>
  <si>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</si>
  <si>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</si>
  <si>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</si>
  <si>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</si>
  <si>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</si>
  <si>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</si>
  <si>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</si>
  <si>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</si>
  <si>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</si>
  <si>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</si>
  <si>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</si>
  <si>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</si>
  <si>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</si>
  <si>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</si>
  <si>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</si>
  <si>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</si>
  <si>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</si>
  <si>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</si>
  <si>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</si>
  <si>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</si>
  <si>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</si>
  <si>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</si>
  <si>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</si>
  <si>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</si>
  <si>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</si>
  <si>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</si>
  <si>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</si>
  <si>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</si>
  <si>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</si>
  <si>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</si>
  <si>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</si>
  <si>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</si>
  <si>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</si>
  <si>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</si>
  <si>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</si>
  <si>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</si>
  <si>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</si>
  <si>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</si>
  <si>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</si>
  <si>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</si>
  <si>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</si>
  <si>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</si>
  <si>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</si>
  <si>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</si>
  <si>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</si>
  <si>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</si>
  <si>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</si>
  <si>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</si>
  <si>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</si>
  <si>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</si>
  <si>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</si>
  <si>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</si>
  <si>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</si>
  <si>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</si>
  <si>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</si>
  <si>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</si>
  <si>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</si>
  <si>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</si>
  <si>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</si>
  <si>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</si>
  <si>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</si>
  <si>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</si>
  <si>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</si>
  <si>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</si>
  <si>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</si>
  <si>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</si>
  <si>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</si>
  <si>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</si>
  <si>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</si>
  <si>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</si>
  <si>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</si>
  <si>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</si>
  <si>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</si>
  <si>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</si>
  <si>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</si>
  <si>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</si>
  <si>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</si>
  <si>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</si>
  <si>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</si>
  <si>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</si>
  <si>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</si>
  <si>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</si>
  <si>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</si>
  <si>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</si>
  <si>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</si>
  <si>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</si>
  <si>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</si>
  <si>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</si>
  <si>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</si>
  <si>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</si>
  <si>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</si>
  <si>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</si>
  <si>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</si>
  <si>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</si>
  <si>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</si>
  <si>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</si>
  <si>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</si>
  <si>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</si>
  <si>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</si>
  <si>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</si>
  <si>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</si>
  <si>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</si>
  <si>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</si>
  <si>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</si>
  <si>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</si>
  <si>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</si>
  <si>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</si>
  <si>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</si>
  <si>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</si>
  <si>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</si>
  <si>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</si>
  <si>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</si>
  <si>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</si>
  <si>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</si>
  <si>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</si>
  <si>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</si>
  <si>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</si>
  <si>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</si>
  <si>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</si>
  <si>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</si>
  <si>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</si>
  <si>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</si>
  <si>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</si>
  <si>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</si>
  <si>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</si>
  <si>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</si>
  <si>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</si>
  <si>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</si>
  <si>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</si>
  <si>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</si>
  <si>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</si>
  <si>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</si>
  <si>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</si>
  <si>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</si>
  <si>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</si>
  <si>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</si>
  <si>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</si>
  <si>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</si>
  <si>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</si>
  <si>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</si>
  <si>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</si>
  <si>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</si>
  <si>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</si>
  <si>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</si>
  <si>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</si>
  <si>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</si>
  <si>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</si>
  <si>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</si>
  <si>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</si>
  <si>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</si>
  <si>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</si>
  <si>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</si>
  <si>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</si>
  <si>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</si>
  <si>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</si>
  <si>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</si>
  <si>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</si>
  <si>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</si>
  <si>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</si>
  <si>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</si>
  <si>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</si>
  <si>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</si>
  <si>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</si>
  <si>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</si>
  <si>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</si>
  <si>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</si>
  <si>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</si>
  <si>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</si>
  <si>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</si>
  <si>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</si>
  <si>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</si>
  <si>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</si>
  <si>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</si>
  <si>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</si>
  <si>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</si>
  <si>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</si>
  <si>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</si>
  <si>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</si>
  <si>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</si>
  <si>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</si>
  <si>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</si>
  <si>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</si>
  <si>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</si>
  <si>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</si>
  <si>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</si>
  <si>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</si>
  <si>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</si>
  <si>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</si>
  <si>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</si>
  <si>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</si>
  <si>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</si>
  <si>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</si>
  <si>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</si>
  <si>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</si>
  <si>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</si>
  <si>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</si>
  <si>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</si>
  <si>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</si>
  <si>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</si>
  <si>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</si>
  <si>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</si>
  <si>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</si>
  <si>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</si>
  <si>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</si>
  <si>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</si>
  <si>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</si>
  <si>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</si>
  <si>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</si>
  <si>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</si>
  <si>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</si>
  <si>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</si>
  <si>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</si>
  <si>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</si>
  <si>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</si>
  <si>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</si>
  <si>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</si>
  <si>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</si>
  <si>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</si>
  <si>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</si>
  <si>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</si>
  <si>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</si>
  <si>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</si>
  <si>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</si>
  <si>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</si>
  <si>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</si>
  <si>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</si>
  <si>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</si>
  <si>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</si>
  <si>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</si>
  <si>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</si>
  <si>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</si>
  <si>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</si>
  <si>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</si>
  <si>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</si>
  <si>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</si>
  <si>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</si>
  <si>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</si>
  <si>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</si>
  <si>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</si>
  <si>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</si>
  <si>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</si>
  <si>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</si>
  <si>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</si>
  <si>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</si>
  <si>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</si>
  <si>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</si>
  <si>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</si>
  <si>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</si>
  <si>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</si>
  <si>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</si>
  <si>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</si>
  <si>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</si>
  <si>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</si>
  <si>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</si>
  <si>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</si>
  <si>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</si>
  <si>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</si>
  <si>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</si>
  <si>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</si>
  <si>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</si>
  <si>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</si>
  <si>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</si>
  <si>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</si>
  <si>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</si>
  <si>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</si>
  <si>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</si>
  <si>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</si>
  <si>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</si>
  <si>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</si>
  <si>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</si>
  <si>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</si>
  <si>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</si>
  <si>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</si>
  <si>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</si>
  <si>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</si>
  <si>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</si>
  <si>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</si>
  <si>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</si>
  <si>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</si>
  <si>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</si>
  <si>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</si>
  <si>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</si>
  <si>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</si>
  <si>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</si>
  <si>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</si>
  <si>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</si>
  <si>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</si>
  <si>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</si>
  <si>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</si>
  <si>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</si>
  <si>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</si>
  <si>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</si>
  <si>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</si>
  <si>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</si>
  <si>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</si>
  <si>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</si>
  <si>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</si>
  <si>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</si>
  <si>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</si>
  <si>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</si>
  <si>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</si>
  <si>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</si>
  <si>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</si>
  <si>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</si>
  <si>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</si>
  <si>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</si>
  <si>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</si>
  <si>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</si>
  <si>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</si>
  <si>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</si>
  <si>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</si>
  <si>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</si>
  <si>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</si>
  <si>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</si>
  <si>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</si>
  <si>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</si>
  <si>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</si>
  <si>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</si>
  <si>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</si>
  <si>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</si>
  <si>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</si>
  <si>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</si>
  <si>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</si>
  <si>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</si>
  <si>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</si>
  <si>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</si>
  <si>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</si>
  <si>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</si>
  <si>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</si>
  <si>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</si>
  <si>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</si>
  <si>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</si>
  <si>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</si>
  <si>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</si>
  <si>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</si>
  <si>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</si>
  <si>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</si>
  <si>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</si>
  <si>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</si>
  <si>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</si>
  <si>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</si>
  <si>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</si>
  <si>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</si>
  <si>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</si>
  <si>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</si>
  <si>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</si>
  <si>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</si>
  <si>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</si>
  <si>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</si>
  <si>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</si>
  <si>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</si>
  <si>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</si>
  <si>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</si>
  <si>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</si>
  <si>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</si>
  <si>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</si>
  <si>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</si>
  <si>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</si>
  <si>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</si>
  <si>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</si>
  <si>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</si>
  <si>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</si>
  <si>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</si>
  <si>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</si>
  <si>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</si>
  <si>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</si>
  <si>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</si>
  <si>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</si>
  <si>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</si>
  <si>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</si>
  <si>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</si>
  <si>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</si>
  <si>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</si>
  <si>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</si>
  <si>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</si>
  <si>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</si>
  <si>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</si>
  <si>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</si>
  <si>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</si>
  <si>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</si>
  <si>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</si>
  <si>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</si>
  <si>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</si>
  <si>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</si>
  <si>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</si>
  <si>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</si>
  <si>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</si>
  <si>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</si>
  <si>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</si>
  <si>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</si>
  <si>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</si>
  <si>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</si>
  <si>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</si>
  <si>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</si>
  <si>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</si>
  <si>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</si>
  <si>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</si>
  <si>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</si>
  <si>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</si>
  <si>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</si>
  <si>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</si>
  <si>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</si>
  <si>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</si>
  <si>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</si>
  <si>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</si>
  <si>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</si>
  <si>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</si>
  <si>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</si>
  <si>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</si>
  <si>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</si>
  <si>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</si>
  <si>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</si>
  <si>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</si>
  <si>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</si>
  <si>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</si>
  <si>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</si>
  <si>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</si>
  <si>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</si>
  <si>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</si>
  <si>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</si>
  <si>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</si>
  <si>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</si>
  <si>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</si>
  <si>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</si>
  <si>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</si>
  <si>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</si>
  <si>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</si>
  <si>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</si>
  <si>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</si>
  <si>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</si>
  <si>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</si>
  <si>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</si>
  <si>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</si>
  <si>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</si>
  <si>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</si>
  <si>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</si>
  <si>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</si>
  <si>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</si>
  <si>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</si>
  <si>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</si>
  <si>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</si>
  <si>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</si>
  <si>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</si>
  <si>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</si>
  <si>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</si>
  <si>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</si>
  <si>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</si>
  <si>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</si>
  <si>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</si>
  <si>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</si>
  <si>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</si>
  <si>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</si>
  <si>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</si>
  <si>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</si>
  <si>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</si>
  <si>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</si>
  <si>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</si>
  <si>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</si>
  <si>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</si>
  <si>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</si>
  <si>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</si>
  <si>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</si>
  <si>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</si>
  <si>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</si>
  <si>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</si>
  <si>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</si>
  <si>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</si>
  <si>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</si>
  <si>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</si>
  <si>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</si>
  <si>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</si>
  <si>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</si>
  <si>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</si>
  <si>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</si>
  <si>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</si>
  <si>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</si>
  <si>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</si>
  <si>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</si>
  <si>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</si>
  <si>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</si>
  <si>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</si>
  <si>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</si>
  <si>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</si>
  <si>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</si>
  <si>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</si>
  <si>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</si>
  <si>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</si>
  <si>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</si>
  <si>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</si>
  <si>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</si>
  <si>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</si>
  <si>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</si>
  <si>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</si>
  <si>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</si>
  <si>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</si>
  <si>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</si>
  <si>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</si>
  <si>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</si>
  <si>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</si>
  <si>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</si>
  <si>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</si>
  <si>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</si>
  <si>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</si>
  <si>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</si>
  <si>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</si>
  <si>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</si>
  <si>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</si>
  <si>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</si>
  <si>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</si>
  <si>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</si>
  <si>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</si>
  <si>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</si>
  <si>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</si>
  <si>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</si>
  <si>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</si>
  <si>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</si>
  <si>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</si>
  <si>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</si>
  <si>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</si>
  <si>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</si>
  <si>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</si>
  <si>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</si>
  <si>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</si>
  <si>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</si>
  <si>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</si>
  <si>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</si>
  <si>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</si>
  <si>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</si>
  <si>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</si>
  <si>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</si>
  <si>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</si>
  <si>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</si>
  <si>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</si>
  <si>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</si>
  <si>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</si>
  <si>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</si>
  <si>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</si>
  <si>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</si>
  <si>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</si>
  <si>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</si>
  <si>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</si>
  <si>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</si>
  <si>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</si>
  <si>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</si>
  <si>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</si>
  <si>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</si>
  <si>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</si>
  <si>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</si>
  <si>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</si>
  <si>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</si>
  <si>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</si>
  <si>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</si>
  <si>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</si>
  <si>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</si>
  <si>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</si>
  <si>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</si>
  <si>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</si>
  <si>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</si>
  <si>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</si>
  <si>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</si>
  <si>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</si>
  <si>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</si>
  <si>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</si>
  <si>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</si>
  <si>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</si>
  <si>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</si>
  <si>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</si>
  <si>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</si>
  <si>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</si>
  <si>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</si>
  <si>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</si>
  <si>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</si>
  <si>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</si>
  <si>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</si>
  <si>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</si>
  <si>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</si>
  <si>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</si>
  <si>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</si>
  <si>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</si>
  <si>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</si>
  <si>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</si>
  <si>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</si>
  <si>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</si>
  <si>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</si>
  <si>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</si>
  <si>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</si>
  <si>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</si>
  <si>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</si>
  <si>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</si>
  <si>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</si>
  <si>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</si>
  <si>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</si>
  <si>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</si>
  <si>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</si>
  <si>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</si>
  <si>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</si>
  <si>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</si>
  <si>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</si>
  <si>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</si>
  <si>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</si>
  <si>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</si>
  <si>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</si>
  <si>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</si>
  <si>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</si>
  <si>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</si>
  <si>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</si>
  <si>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</si>
  <si>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</si>
  <si>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</si>
  <si>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</si>
  <si>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</si>
  <si>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</si>
  <si>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</si>
  <si>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</si>
  <si>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</si>
  <si>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</si>
  <si>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</si>
  <si>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</si>
  <si>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</si>
  <si>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</si>
  <si>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</si>
  <si>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</si>
  <si>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</si>
  <si>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</si>
  <si>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</si>
  <si>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</si>
  <si>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</si>
  <si>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</si>
  <si>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</si>
  <si>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</si>
  <si>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</si>
  <si>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</si>
  <si>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</si>
  <si>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</si>
  <si>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</si>
  <si>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</si>
  <si>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</si>
  <si>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</si>
  <si>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</si>
  <si>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</si>
  <si>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</si>
  <si>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</si>
  <si>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</si>
  <si>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</si>
  <si>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</si>
  <si>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</si>
  <si>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</si>
  <si>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</si>
  <si>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</si>
  <si>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</si>
  <si>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</si>
  <si>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</si>
  <si>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</si>
  <si>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</si>
  <si>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</si>
  <si>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</si>
  <si>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</si>
  <si>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</si>
  <si>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</si>
  <si>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</si>
  <si>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</si>
  <si>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</si>
  <si>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</si>
  <si>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</si>
  <si>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</si>
  <si>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</si>
  <si>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</si>
  <si>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</si>
  <si>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</si>
  <si>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</si>
  <si>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</si>
  <si>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</si>
  <si>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</si>
  <si>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</si>
  <si>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</si>
  <si>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</si>
  <si>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</si>
  <si>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</si>
  <si>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</si>
  <si>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</si>
  <si>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</si>
  <si>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</si>
  <si>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</si>
  <si>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</si>
  <si>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</si>
  <si>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</si>
  <si>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</si>
  <si>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</si>
  <si>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</si>
  <si>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</si>
  <si>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</si>
  <si>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</si>
  <si>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</si>
  <si>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</si>
  <si>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</si>
  <si>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</si>
  <si>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</si>
  <si>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</si>
  <si>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</si>
  <si>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</si>
  <si>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</si>
  <si>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</si>
  <si>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</si>
  <si>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</si>
  <si>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</si>
  <si>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</si>
  <si>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</si>
  <si>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</si>
  <si>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</si>
  <si>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</si>
  <si>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</si>
  <si>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</si>
  <si>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</si>
  <si>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</si>
  <si>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</si>
  <si>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</si>
  <si>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</si>
  <si>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</si>
  <si>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</si>
  <si>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</si>
  <si>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</si>
  <si>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</si>
  <si>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</si>
  <si>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</si>
  <si>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</si>
  <si>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</si>
  <si>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</si>
  <si>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</si>
  <si>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</si>
  <si>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</si>
  <si>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</si>
  <si>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</si>
  <si>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</si>
  <si>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</si>
  <si>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</si>
  <si>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</si>
  <si>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</si>
  <si>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</si>
  <si>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</si>
  <si>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</si>
  <si>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</si>
  <si>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</si>
  <si>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</si>
  <si>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</si>
  <si>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</si>
  <si>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</si>
  <si>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</si>
  <si>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</si>
  <si>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</si>
  <si>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</si>
  <si>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</si>
  <si>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</si>
  <si>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</si>
  <si>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</si>
  <si>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</si>
  <si>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</si>
  <si>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</si>
  <si>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</si>
  <si>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</si>
  <si>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</si>
  <si>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</si>
  <si>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</si>
  <si>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</si>
  <si>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</si>
  <si>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</si>
  <si>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</si>
  <si>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</si>
  <si>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</si>
  <si>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</si>
  <si>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</si>
  <si>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</si>
  <si>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</si>
  <si>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</si>
  <si>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</si>
  <si>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</si>
  <si>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</si>
  <si>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</si>
  <si>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</si>
  <si>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</si>
  <si>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</si>
  <si>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</si>
  <si>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</si>
  <si>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</si>
  <si>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</si>
  <si>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</si>
  <si>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</si>
  <si>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</si>
  <si>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</si>
  <si>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</si>
  <si>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</si>
  <si>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</si>
  <si>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</si>
  <si>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</si>
  <si>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</si>
  <si>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</si>
  <si>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</si>
  <si>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</si>
  <si>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</si>
  <si>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</si>
  <si>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</si>
  <si>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</si>
  <si>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</si>
  <si>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</si>
  <si>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</si>
  <si>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</si>
  <si>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</si>
  <si>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</si>
  <si>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</si>
  <si>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</si>
  <si>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</si>
  <si>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</si>
  <si>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</si>
  <si>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</si>
  <si>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</si>
  <si>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</si>
  <si>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</si>
  <si>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</si>
  <si>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</si>
  <si>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</si>
  <si>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</si>
  <si>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</si>
  <si>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</si>
  <si>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</si>
  <si>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</si>
  <si>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</si>
  <si>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</si>
  <si>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</si>
  <si>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</si>
  <si>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</si>
  <si>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</si>
  <si>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</si>
  <si>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</si>
  <si>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</si>
  <si>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</si>
  <si>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</si>
  <si>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</si>
  <si>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</si>
  <si>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</si>
  <si>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</si>
  <si>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</si>
  <si>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</si>
  <si>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</si>
  <si>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</si>
  <si>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</si>
  <si>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</si>
  <si>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</si>
  <si>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</si>
  <si>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</si>
  <si>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</si>
  <si>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</si>
  <si>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</si>
  <si>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</si>
  <si>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</si>
  <si>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</si>
  <si>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</si>
  <si>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</si>
  <si>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</si>
  <si>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</si>
  <si>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</si>
  <si>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</si>
  <si>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</si>
  <si>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</si>
  <si>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</si>
  <si>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</si>
  <si>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</si>
  <si>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</si>
  <si>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</si>
  <si>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</si>
  <si>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</si>
  <si>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</si>
  <si>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</si>
  <si>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</si>
  <si>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</si>
  <si>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</si>
  <si>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</si>
  <si>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</si>
  <si>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</si>
  <si>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</si>
  <si>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</si>
  <si>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</si>
  <si>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</si>
  <si>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</si>
  <si>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</si>
  <si>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</si>
  <si>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</si>
  <si>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</si>
  <si>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</si>
  <si>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</si>
  <si>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</si>
  <si>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</si>
  <si>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</si>
  <si>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</si>
  <si>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</si>
  <si>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</si>
  <si>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</si>
  <si>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</si>
  <si>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</si>
  <si>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</si>
  <si>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</si>
  <si>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</si>
  <si>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</si>
  <si>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</si>
  <si>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</si>
  <si>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</si>
  <si>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</si>
  <si>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</si>
  <si>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</si>
  <si>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</si>
  <si>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</si>
  <si>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</si>
  <si>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</si>
  <si>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</si>
  <si>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</si>
  <si>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</si>
  <si>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</si>
  <si>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</si>
  <si>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</si>
  <si>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</si>
  <si>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</si>
  <si>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</si>
  <si>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</si>
  <si>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</si>
  <si>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</si>
  <si>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</si>
  <si>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</si>
  <si>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</si>
  <si>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</si>
  <si>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</si>
  <si>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</si>
  <si>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</si>
  <si>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</si>
  <si>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</si>
  <si>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</si>
  <si>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</si>
  <si>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</si>
  <si>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</si>
  <si>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</si>
  <si>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</si>
  <si>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</si>
  <si>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</si>
  <si>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</si>
  <si>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</si>
  <si>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</si>
  <si>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</si>
  <si>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</si>
  <si>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</si>
  <si>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</si>
  <si>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</si>
  <si>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</si>
  <si>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</si>
  <si>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</si>
  <si>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</si>
  <si>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</si>
  <si>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</si>
  <si>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</si>
  <si>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</si>
  <si>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</si>
  <si>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</si>
  <si>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</si>
  <si>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</si>
  <si>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</si>
  <si>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</si>
  <si>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</si>
  <si>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</si>
  <si>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</si>
  <si>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</si>
  <si>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</si>
  <si>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</si>
  <si>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</si>
  <si>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</si>
  <si>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</si>
  <si>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</si>
  <si>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</si>
  <si>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</si>
  <si>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</si>
  <si>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</si>
  <si>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</si>
  <si>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</si>
  <si>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</si>
  <si>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</si>
  <si>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</si>
  <si>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</si>
  <si>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</si>
  <si>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</si>
  <si>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</si>
  <si>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</si>
  <si>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</si>
  <si>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</si>
  <si>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</si>
  <si>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</si>
  <si>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</si>
  <si>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</si>
  <si>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</si>
  <si>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</si>
  <si>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</si>
  <si>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</si>
  <si>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</si>
  <si>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</si>
  <si>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</si>
  <si>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</si>
  <si>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</si>
  <si>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</si>
  <si>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</si>
  <si>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</si>
  <si>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</si>
  <si>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</si>
  <si>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</si>
  <si>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</si>
  <si>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</si>
  <si>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</si>
  <si>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</si>
  <si>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</si>
  <si>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</si>
  <si>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</si>
  <si>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</si>
  <si>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</si>
  <si>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</si>
  <si>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</si>
  <si>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</si>
  <si>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</si>
  <si>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</si>
  <si>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</si>
  <si>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</si>
  <si>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</si>
  <si>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</si>
  <si>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</si>
  <si>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</si>
  <si>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</si>
  <si>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</si>
  <si>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</si>
  <si>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</si>
  <si>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</si>
  <si>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</si>
  <si>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</si>
  <si>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</si>
  <si>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</si>
  <si>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</si>
  <si>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</si>
  <si>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</si>
  <si>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</si>
  <si>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</si>
  <si>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</si>
  <si>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</si>
  <si>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</si>
  <si>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</si>
  <si>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</si>
  <si>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</si>
  <si>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</si>
  <si>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</si>
  <si>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</si>
  <si>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</si>
  <si>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</si>
  <si>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</si>
  <si>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</si>
  <si>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</si>
  <si>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</si>
  <si>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</si>
  <si>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</si>
  <si>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</si>
  <si>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</si>
  <si>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</si>
  <si>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</si>
  <si>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</si>
  <si>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</si>
  <si>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</si>
  <si>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</si>
  <si>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</si>
  <si>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</si>
  <si>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</si>
  <si>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</si>
  <si>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</si>
  <si>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</si>
  <si>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</si>
  <si>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</si>
  <si>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</si>
  <si>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</si>
  <si>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</si>
  <si>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</si>
  <si>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</si>
  <si>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</si>
  <si>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</si>
  <si>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</si>
  <si>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</si>
  <si>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</si>
  <si>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</si>
  <si>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</si>
  <si>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</si>
  <si>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</si>
  <si>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</si>
  <si>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</si>
  <si>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</si>
  <si>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</si>
  <si>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</si>
  <si>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</si>
  <si>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</si>
  <si>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</si>
  <si>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</si>
  <si>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</si>
  <si>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</si>
  <si>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</si>
  <si>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</si>
  <si>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</si>
  <si>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</si>
  <si>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</si>
  <si>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</si>
  <si>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</si>
  <si>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</si>
  <si>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</si>
  <si>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</si>
  <si>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</si>
  <si>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</si>
  <si>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</si>
  <si>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</si>
  <si>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</si>
  <si>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</si>
  <si>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</si>
  <si>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</si>
  <si>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</si>
  <si>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</si>
  <si>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</si>
  <si>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</si>
  <si>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</si>
  <si>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</si>
  <si>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</si>
  <si>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</si>
  <si>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</si>
  <si>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</si>
  <si>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</si>
  <si>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</si>
  <si>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</si>
  <si>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</si>
  <si>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</si>
  <si>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</si>
  <si>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</si>
  <si>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</si>
  <si>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</si>
  <si>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</si>
  <si>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</si>
  <si>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</si>
  <si>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</si>
  <si>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</si>
  <si>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</si>
  <si>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</si>
  <si>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</si>
  <si>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</si>
  <si>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</si>
  <si>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</si>
  <si>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</si>
  <si>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</si>
  <si>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</si>
  <si>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</si>
  <si>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</si>
  <si>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</si>
  <si>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</si>
  <si>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</si>
  <si>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</si>
  <si>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</si>
  <si>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</si>
  <si>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</si>
  <si>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</si>
  <si>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</si>
  <si>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</si>
  <si>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</si>
  <si>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</si>
  <si>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</si>
  <si>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</si>
  <si>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</si>
  <si>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</si>
  <si>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</si>
  <si>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</si>
  <si>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</si>
  <si>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</si>
  <si>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</si>
  <si>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</si>
  <si>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</si>
  <si>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</si>
  <si>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</si>
  <si>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</si>
  <si>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</si>
  <si>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</si>
  <si>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</si>
  <si>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</si>
  <si>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</si>
  <si>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</si>
  <si>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</si>
  <si>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</si>
  <si>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</si>
  <si>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</si>
  <si>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</si>
  <si>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</si>
  <si>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</si>
  <si>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</si>
  <si>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</si>
  <si>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</si>
  <si>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</si>
  <si>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</si>
  <si>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</si>
  <si>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</si>
  <si>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</si>
  <si>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</si>
  <si>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</si>
  <si>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</si>
  <si>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</si>
  <si>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</si>
  <si>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</si>
  <si>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</si>
  <si>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</si>
  <si>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</si>
  <si>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</si>
  <si>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</si>
  <si>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</si>
  <si>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</si>
  <si>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</si>
  <si>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</si>
  <si>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</si>
  <si>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</si>
  <si>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</si>
  <si>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</si>
  <si>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</si>
  <si>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</si>
  <si>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</si>
  <si>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</si>
  <si>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</si>
  <si>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</si>
  <si>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</si>
  <si>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</si>
  <si>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</si>
  <si>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</si>
  <si>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</si>
  <si>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</si>
  <si>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</si>
  <si>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</si>
  <si>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</si>
  <si>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</si>
  <si>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</si>
  <si>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</si>
  <si>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</si>
  <si>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</si>
  <si>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</si>
  <si>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</si>
  <si>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</si>
  <si>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</si>
  <si>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</si>
  <si>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</si>
  <si>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</si>
  <si>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</si>
  <si>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</si>
  <si>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</si>
  <si>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</si>
  <si>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</si>
  <si>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</si>
  <si>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</si>
  <si>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</si>
  <si>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</si>
  <si>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</si>
  <si>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</si>
  <si>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</si>
  <si>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</si>
  <si>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</si>
  <si>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</si>
  <si>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</si>
  <si>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</si>
  <si>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</si>
  <si>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</si>
  <si>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</si>
  <si>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</si>
  <si>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</si>
  <si>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</si>
  <si>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</si>
  <si>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</si>
  <si>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</si>
  <si>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</si>
  <si>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</si>
  <si>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</si>
  <si>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</si>
  <si>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</si>
  <si>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</si>
  <si>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</si>
  <si>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</si>
  <si>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</si>
  <si>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</si>
  <si>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</si>
  <si>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</si>
  <si>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</si>
  <si>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</si>
  <si>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</si>
  <si>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</si>
  <si>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</si>
  <si>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</si>
  <si>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</si>
  <si>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</si>
  <si>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</si>
  <si>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</si>
  <si>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</si>
  <si>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</si>
  <si>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</si>
  <si>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</si>
  <si>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</si>
  <si>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</si>
  <si>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</si>
  <si>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</si>
  <si>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</si>
  <si>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</si>
  <si>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</si>
  <si>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</si>
  <si>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</si>
  <si>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</si>
  <si>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</si>
  <si>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</si>
  <si>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</si>
  <si>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</si>
  <si>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</si>
  <si>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</si>
  <si>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</si>
  <si>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</si>
  <si>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</si>
  <si>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</si>
  <si>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</si>
  <si>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</si>
  <si>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</si>
  <si>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</si>
  <si>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</si>
  <si>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</si>
  <si>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</si>
  <si>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</si>
  <si>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</si>
  <si>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</si>
  <si>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</si>
  <si>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</si>
  <si>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</si>
  <si>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</si>
  <si>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</si>
  <si>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</si>
  <si>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</si>
  <si>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</si>
  <si>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</si>
  <si>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</si>
  <si>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</si>
  <si>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</si>
  <si>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</si>
  <si>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</si>
  <si>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</si>
  <si>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</si>
  <si>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</si>
  <si>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</si>
  <si>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</si>
  <si>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</si>
  <si>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</si>
  <si>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</si>
  <si>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</si>
  <si>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</si>
  <si>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</si>
  <si>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</si>
  <si>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</si>
  <si>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</si>
  <si>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</si>
  <si>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</si>
  <si>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</si>
  <si>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</si>
  <si>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</si>
  <si>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</si>
  <si>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</si>
  <si>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</si>
  <si>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</si>
  <si>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</si>
  <si>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</si>
  <si>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</si>
  <si>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</si>
  <si>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</si>
  <si>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</si>
  <si>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</si>
  <si>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</si>
  <si>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</si>
  <si>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</si>
  <si>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</si>
  <si>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</si>
  <si>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</si>
  <si>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</si>
  <si>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</si>
  <si>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</si>
  <si>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</si>
  <si>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</si>
  <si>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</si>
  <si>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</si>
  <si>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</si>
  <si>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</si>
  <si>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</si>
  <si>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</si>
  <si>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</si>
  <si>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</si>
  <si>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</si>
  <si>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</si>
  <si>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</si>
  <si>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</si>
  <si>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</si>
  <si>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</si>
  <si>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</si>
  <si>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</si>
  <si>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</si>
  <si>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</si>
  <si>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</si>
  <si>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</si>
  <si>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</si>
  <si>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</si>
  <si>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</si>
  <si>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</si>
  <si>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</si>
  <si>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</si>
  <si>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</si>
  <si>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</si>
  <si>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</si>
  <si>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</si>
  <si>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</si>
  <si>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</si>
  <si>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</si>
  <si>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</si>
  <si>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</si>
  <si>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</si>
  <si>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</si>
  <si>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</si>
  <si>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</si>
  <si>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</si>
  <si>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</si>
  <si>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</si>
  <si>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</si>
  <si>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</si>
  <si>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</si>
  <si>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</si>
  <si>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</si>
  <si>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</si>
  <si>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</si>
  <si>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</si>
  <si>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</si>
  <si>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</si>
  <si>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</si>
  <si>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</si>
  <si>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</si>
  <si>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</si>
  <si>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</si>
  <si>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</si>
  <si>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</si>
  <si>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</si>
  <si>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</si>
  <si>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</si>
  <si>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</si>
  <si>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</si>
  <si>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</si>
  <si>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</si>
  <si>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</si>
  <si>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</si>
  <si>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</si>
  <si>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</si>
  <si>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</si>
  <si>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</si>
  <si>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</si>
  <si>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</si>
  <si>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</si>
  <si>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</si>
  <si>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</si>
  <si>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</si>
  <si>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</si>
  <si>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</si>
  <si>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</si>
  <si>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</si>
  <si>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</si>
  <si>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</si>
  <si>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</si>
  <si>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</si>
  <si>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</si>
  <si>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</si>
  <si>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</si>
  <si>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</si>
  <si>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</si>
  <si>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</si>
  <si>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</si>
  <si>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</si>
  <si>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</si>
  <si>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</si>
  <si>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</si>
  <si>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</si>
  <si>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</si>
  <si>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</si>
  <si>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</si>
  <si>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</si>
  <si>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</si>
  <si>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</si>
  <si>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</si>
  <si>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</si>
  <si>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</si>
  <si>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</si>
  <si>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</si>
  <si>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</si>
  <si>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</si>
  <si>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</si>
  <si>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</si>
  <si>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</si>
  <si>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</si>
  <si>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</si>
  <si>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</si>
  <si>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</si>
  <si>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</si>
  <si>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</si>
  <si>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</si>
  <si>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</si>
  <si>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</si>
  <si>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</si>
  <si>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</si>
  <si>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</si>
  <si>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</si>
  <si>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</si>
  <si>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</si>
  <si>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</si>
  <si>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</si>
  <si>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</si>
  <si>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</si>
  <si>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</si>
  <si>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</si>
  <si>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</si>
  <si>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</si>
  <si>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</si>
  <si>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</si>
  <si>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</si>
  <si>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</si>
  <si>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</si>
  <si>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</si>
  <si>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</si>
  <si>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</si>
  <si>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</si>
  <si>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</si>
  <si>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</si>
  <si>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</si>
  <si>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</si>
  <si>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</si>
  <si>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</si>
  <si>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</si>
  <si>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</si>
  <si>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</si>
  <si>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</si>
  <si>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</si>
  <si>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</si>
  <si>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</si>
  <si>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</si>
  <si>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</si>
  <si>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</si>
  <si>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</si>
  <si>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</si>
  <si>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</si>
  <si>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</si>
  <si>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</si>
  <si>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</si>
  <si>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</si>
  <si>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</si>
  <si>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</si>
  <si>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</si>
  <si>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</si>
  <si>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</si>
  <si>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</si>
  <si>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</si>
  <si>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</si>
  <si>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</si>
  <si>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</si>
  <si>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</si>
  <si>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</si>
  <si>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</si>
  <si>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</si>
  <si>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</si>
  <si>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</si>
  <si>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</si>
  <si>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</si>
  <si>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</si>
  <si>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</si>
  <si>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</si>
  <si>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</si>
  <si>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</si>
  <si>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</si>
  <si>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</si>
  <si>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</si>
  <si>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</si>
  <si>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</si>
  <si>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</si>
  <si>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</si>
  <si>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</si>
  <si>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</si>
  <si>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</si>
  <si>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</si>
  <si>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</si>
  <si>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</si>
  <si>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</si>
  <si>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</si>
  <si>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</si>
  <si>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</si>
  <si>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</si>
  <si>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</si>
  <si>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</si>
  <si>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</si>
  <si>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</si>
  <si>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</si>
  <si>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</si>
  <si>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</si>
  <si>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</si>
  <si>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</si>
  <si>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</si>
  <si>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</si>
  <si>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</si>
  <si>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</si>
  <si>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</si>
  <si>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</si>
  <si>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</si>
  <si>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</si>
  <si>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</si>
  <si>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</si>
  <si>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</si>
  <si>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</si>
  <si>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</si>
  <si>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</si>
  <si>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</si>
  <si>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</si>
  <si>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</si>
  <si>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</si>
  <si>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</si>
  <si>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</si>
  <si>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</si>
  <si>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</si>
  <si>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</si>
  <si>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</si>
  <si>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</si>
  <si>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</si>
  <si>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</si>
  <si>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</si>
  <si>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</si>
  <si>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</si>
  <si>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</si>
  <si>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</si>
  <si>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</si>
  <si>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</si>
  <si>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</si>
  <si>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</si>
  <si>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</si>
  <si>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</si>
  <si>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</si>
  <si>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</si>
  <si>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</si>
  <si>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</si>
  <si>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</si>
  <si>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</si>
  <si>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</si>
  <si>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</si>
  <si>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</si>
  <si>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</si>
  <si>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</si>
  <si>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</si>
  <si>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</si>
  <si>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</si>
  <si>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</si>
  <si>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</si>
  <si>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</si>
  <si>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</si>
  <si>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</si>
  <si>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</si>
  <si>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</si>
  <si>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</si>
  <si>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</si>
  <si>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</si>
  <si>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</si>
  <si>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</si>
  <si>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</si>
  <si>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</si>
  <si>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</si>
  <si>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</si>
  <si>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</si>
  <si>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</si>
  <si>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</si>
  <si>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</si>
  <si>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</si>
  <si>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</si>
  <si>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</si>
  <si>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</si>
  <si>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</si>
  <si>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</si>
  <si>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</si>
  <si>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</si>
  <si>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</si>
  <si>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</si>
  <si>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</si>
  <si>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</si>
  <si>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</si>
  <si>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</si>
  <si>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</si>
  <si>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</si>
  <si>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</si>
  <si>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</si>
  <si>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</si>
  <si>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</si>
  <si>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</si>
  <si>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</si>
  <si>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</si>
  <si>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</si>
  <si>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</si>
  <si>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</si>
  <si>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</si>
  <si>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</si>
  <si>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</si>
  <si>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</si>
  <si>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</si>
  <si>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</si>
  <si>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</si>
  <si>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</si>
  <si>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</si>
  <si>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</si>
  <si>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</si>
  <si>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</si>
  <si>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</si>
  <si>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</si>
  <si>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</si>
  <si>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</si>
  <si>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</si>
  <si>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</si>
  <si>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</si>
  <si>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</si>
  <si>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</si>
  <si>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</si>
  <si>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</si>
  <si>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</si>
  <si>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</si>
  <si>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</si>
  <si>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</si>
  <si>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</si>
  <si>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</si>
  <si>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</si>
  <si>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</si>
  <si>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</si>
  <si>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</si>
  <si>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</si>
  <si>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</si>
  <si>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</si>
  <si>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</si>
  <si>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</si>
  <si>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</si>
  <si>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</si>
  <si>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</si>
  <si>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</si>
  <si>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</si>
  <si>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</si>
  <si>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</si>
  <si>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</si>
  <si>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</si>
  <si>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</si>
  <si>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</si>
  <si>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</si>
  <si>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</si>
  <si>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</si>
  <si>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</si>
  <si>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</si>
  <si>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</si>
  <si>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</si>
  <si>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</si>
  <si>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</si>
  <si>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</si>
  <si>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</si>
  <si>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</si>
  <si>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</si>
  <si>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</si>
  <si>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</si>
  <si>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</si>
  <si>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</si>
  <si>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</si>
  <si>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</si>
  <si>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</si>
  <si>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</si>
  <si>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</si>
  <si>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</si>
  <si>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</si>
  <si>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</si>
  <si>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</si>
  <si>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</si>
  <si>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</si>
  <si>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</si>
  <si>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</si>
  <si>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</si>
  <si>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</si>
  <si>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</si>
  <si>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</si>
  <si>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</si>
  <si>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</si>
  <si>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</si>
  <si>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</si>
  <si>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</si>
  <si>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</si>
  <si>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</si>
  <si>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</si>
  <si>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</si>
  <si>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</si>
  <si>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</si>
  <si>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</si>
  <si>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</si>
  <si>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</si>
  <si>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</si>
  <si>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</si>
  <si>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</si>
  <si>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</si>
  <si>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</si>
  <si>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</si>
  <si>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</si>
  <si>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</si>
  <si>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</si>
  <si>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</si>
  <si>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</si>
  <si>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</si>
  <si>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</si>
  <si>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</si>
  <si>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</si>
  <si>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</si>
  <si>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</si>
  <si>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</si>
  <si>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</si>
  <si>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</si>
  <si>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</si>
  <si>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</si>
  <si>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</si>
  <si>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</si>
  <si>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</si>
  <si>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</si>
  <si>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</si>
  <si>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</si>
  <si>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</si>
  <si>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</si>
  <si>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</si>
  <si>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</si>
  <si>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</si>
  <si>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</si>
  <si>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</si>
  <si>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</si>
  <si>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</si>
  <si>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</si>
  <si>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</si>
  <si>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</si>
  <si>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</si>
  <si>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</si>
  <si>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</si>
  <si>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</si>
  <si>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</si>
  <si>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</si>
  <si>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</si>
  <si>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</si>
  <si>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</si>
  <si>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</si>
  <si>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</si>
  <si>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</si>
  <si>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</si>
  <si>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</si>
  <si>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</si>
  <si>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</si>
  <si>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</si>
  <si>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</si>
  <si>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</si>
  <si>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</si>
  <si>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</si>
  <si>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</si>
  <si>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</si>
  <si>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</si>
  <si>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</si>
  <si>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</si>
  <si>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</si>
  <si>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</si>
  <si>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</si>
  <si>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</si>
  <si>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</si>
  <si>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</si>
  <si>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</si>
  <si>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</si>
  <si>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</si>
  <si>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</si>
  <si>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</si>
  <si>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</si>
  <si>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</si>
  <si>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</si>
  <si>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</si>
  <si>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</si>
  <si>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</si>
  <si>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</si>
  <si>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</si>
  <si>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</si>
  <si>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</si>
  <si>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</si>
  <si>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</si>
  <si>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</si>
  <si>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</si>
  <si>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</si>
  <si>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</si>
  <si>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</si>
  <si>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</si>
  <si>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</si>
  <si>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</si>
  <si>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</si>
  <si>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</si>
  <si>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</si>
  <si>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</si>
  <si>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</si>
  <si>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</si>
  <si>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</si>
  <si>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</si>
  <si>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</si>
  <si>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</si>
  <si>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</si>
  <si>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</si>
  <si>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</si>
  <si>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</si>
  <si>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</si>
  <si>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</si>
  <si>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</si>
  <si>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</si>
  <si>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</si>
  <si>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</si>
  <si>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</si>
  <si>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</si>
  <si>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</si>
  <si>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</si>
  <si>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</si>
  <si>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</si>
  <si>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</si>
  <si>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</si>
  <si>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</si>
  <si>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</si>
  <si>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</si>
  <si>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</si>
  <si>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</si>
  <si>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</si>
  <si>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</si>
  <si>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</si>
  <si>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</si>
  <si>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</si>
  <si>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</si>
  <si>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</si>
  <si>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</si>
  <si>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</si>
  <si>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</si>
  <si>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</si>
  <si>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</si>
  <si>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</si>
  <si>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</si>
  <si>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</si>
  <si>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</si>
  <si>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</si>
  <si>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</si>
  <si>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</si>
  <si>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</si>
  <si>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</si>
  <si>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</si>
  <si>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</si>
  <si>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</si>
  <si>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</si>
  <si>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</si>
  <si>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</si>
  <si>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</si>
  <si>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</si>
  <si>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</si>
  <si>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</si>
  <si>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</si>
  <si>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</si>
  <si>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</si>
  <si>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</si>
  <si>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</si>
  <si>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</si>
  <si>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</si>
  <si>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</si>
  <si>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</si>
  <si>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</si>
  <si>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</si>
  <si>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</si>
  <si>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</si>
  <si>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</si>
  <si>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</si>
  <si>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</si>
  <si>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</si>
  <si>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</si>
  <si>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</si>
  <si>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</si>
  <si>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</si>
  <si>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</si>
  <si>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</si>
  <si>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</si>
  <si>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</si>
  <si>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</si>
  <si>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</si>
  <si>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</si>
  <si>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</si>
  <si>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</si>
  <si>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</si>
  <si>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</si>
  <si>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</si>
  <si>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</si>
  <si>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</si>
  <si>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</si>
  <si>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</si>
  <si>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</si>
  <si>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</si>
  <si>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</si>
  <si>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</si>
  <si>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</si>
  <si>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</si>
  <si>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</si>
  <si>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</si>
  <si>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</si>
  <si>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</si>
  <si>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</si>
  <si>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</si>
  <si>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</si>
  <si>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</si>
  <si>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</si>
  <si>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</si>
  <si>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</si>
  <si>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</si>
  <si>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</si>
  <si>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</si>
  <si>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</si>
  <si>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</si>
  <si>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</si>
  <si>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</si>
  <si>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</si>
  <si>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</si>
  <si>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</si>
  <si>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</si>
  <si>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</si>
  <si>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</si>
  <si>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</si>
  <si>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</si>
  <si>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</si>
  <si>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</si>
  <si>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</si>
  <si>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</si>
  <si>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</si>
  <si>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</si>
  <si>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</si>
  <si>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</si>
  <si>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</si>
  <si>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</si>
  <si>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</si>
  <si>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</si>
  <si>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</si>
  <si>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</si>
  <si>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</si>
  <si>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</si>
  <si>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</si>
  <si>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</si>
  <si>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</si>
  <si>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</si>
  <si>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</si>
  <si>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</si>
  <si>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</si>
  <si>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</si>
  <si>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</si>
  <si>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</si>
  <si>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</si>
  <si>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</si>
  <si>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</si>
  <si>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</si>
  <si>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</si>
  <si>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</si>
  <si>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</si>
  <si>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</si>
  <si>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</si>
  <si>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</si>
  <si>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</si>
  <si>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</si>
  <si>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</si>
  <si>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</si>
  <si>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</si>
  <si>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</si>
  <si>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</si>
  <si>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</si>
  <si>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</si>
  <si>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</si>
  <si>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</si>
  <si>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</si>
  <si>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</si>
  <si>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</si>
  <si>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</si>
  <si>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</si>
  <si>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</si>
  <si>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</si>
  <si>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</si>
  <si>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</si>
  <si>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</si>
  <si>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</si>
  <si>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</si>
  <si>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</si>
  <si>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</si>
  <si>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</si>
  <si>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</si>
  <si>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</si>
  <si>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</si>
  <si>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</si>
  <si>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</si>
  <si>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</si>
  <si>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</si>
  <si>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</si>
  <si>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</si>
  <si>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</si>
  <si>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</si>
  <si>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</si>
  <si>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</si>
  <si>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</si>
  <si>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</si>
  <si>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</si>
  <si>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</si>
  <si>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</si>
  <si>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</si>
  <si>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</si>
  <si>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</si>
  <si>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</si>
  <si>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</si>
  <si>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</si>
  <si>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</si>
  <si>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</si>
  <si>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</si>
  <si>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</si>
  <si>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</si>
  <si>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</si>
  <si>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</si>
  <si>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</si>
  <si>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</si>
  <si>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</si>
  <si>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</si>
  <si>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</si>
  <si>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</si>
  <si>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</si>
  <si>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</si>
  <si>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</si>
  <si>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</si>
  <si>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</si>
  <si>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</si>
  <si>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</si>
  <si>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</si>
  <si>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</si>
  <si>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</si>
  <si>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</si>
  <si>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</si>
  <si>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</si>
  <si>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</si>
  <si>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</si>
  <si>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</si>
  <si>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</si>
  <si>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</si>
  <si>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</si>
  <si>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</si>
  <si>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</si>
  <si>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</si>
  <si>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</si>
  <si>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</si>
  <si>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</si>
  <si>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</si>
  <si>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</si>
  <si>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</si>
  <si>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</si>
  <si>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</si>
  <si>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</si>
  <si>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</si>
  <si>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</si>
  <si>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</si>
  <si>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</si>
  <si>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</si>
  <si>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</si>
  <si>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</si>
  <si>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</si>
  <si>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</si>
  <si>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</si>
  <si>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</si>
  <si>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</si>
  <si>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</si>
  <si>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</si>
  <si>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</si>
  <si>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</si>
  <si>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</si>
  <si>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</si>
  <si>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</si>
  <si>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</si>
  <si>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</si>
  <si>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</si>
  <si>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</si>
  <si>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</si>
  <si>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</si>
  <si>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</si>
  <si>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</si>
  <si>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</si>
  <si>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</si>
  <si>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</si>
  <si>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</si>
  <si>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</si>
  <si>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</si>
  <si>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</si>
  <si>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</si>
  <si>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</si>
  <si>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</si>
  <si>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</si>
  <si>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</si>
  <si>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</si>
  <si>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</si>
  <si>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</si>
  <si>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</si>
  <si>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</si>
  <si>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</si>
  <si>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</si>
  <si>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</si>
  <si>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</si>
  <si>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</si>
  <si>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</si>
  <si>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</si>
  <si>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</si>
  <si>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</si>
  <si>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</si>
  <si>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</si>
  <si>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</si>
  <si>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</si>
  <si>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</si>
  <si>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</si>
  <si>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</si>
  <si>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</si>
  <si>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</si>
  <si>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</si>
  <si>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</si>
  <si>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</si>
  <si>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</si>
  <si>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</si>
  <si>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</si>
  <si>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</si>
  <si>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</si>
  <si>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</si>
  <si>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</si>
  <si>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</si>
  <si>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</si>
  <si>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</si>
  <si>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</si>
  <si>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</si>
  <si>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</si>
  <si>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</si>
  <si>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</si>
  <si>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</si>
  <si>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</si>
  <si>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</si>
  <si>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</si>
  <si>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</si>
  <si>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</si>
  <si>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</si>
  <si>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</si>
  <si>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</si>
  <si>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</si>
  <si>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</si>
  <si>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</si>
  <si>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</si>
  <si>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</si>
  <si>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</si>
  <si>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</si>
  <si>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</si>
  <si>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</si>
  <si>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</si>
  <si>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</si>
  <si>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</si>
  <si>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</si>
  <si>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</si>
  <si>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</si>
  <si>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</si>
  <si>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</si>
  <si>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</si>
  <si>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</si>
  <si>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</si>
  <si>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</si>
  <si>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</si>
  <si>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</si>
  <si>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</si>
  <si>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</si>
  <si>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</si>
  <si>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</si>
  <si>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</si>
  <si>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</si>
  <si>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</si>
  <si>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</si>
  <si>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</si>
  <si>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</si>
  <si>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</si>
  <si>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</si>
  <si>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</si>
  <si>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</si>
  <si>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</si>
  <si>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</si>
  <si>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</si>
  <si>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</si>
  <si>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</si>
  <si>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</si>
  <si>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</si>
  <si>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</si>
  <si>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</si>
  <si>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</si>
  <si>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</si>
  <si>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</si>
  <si>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</si>
  <si>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</si>
  <si>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</si>
  <si>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</si>
  <si>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</si>
  <si>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</si>
  <si>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</si>
  <si>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</si>
  <si>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</si>
  <si>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</si>
  <si>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</si>
  <si>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</si>
  <si>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</si>
  <si>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</si>
  <si>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</si>
  <si>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</si>
  <si>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</si>
  <si>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</si>
  <si>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</si>
  <si>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</si>
  <si>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</si>
  <si>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</si>
  <si>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</si>
  <si>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</si>
  <si>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</si>
  <si>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</si>
  <si>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</si>
  <si>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</si>
  <si>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</si>
  <si>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</si>
  <si>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</si>
  <si>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</si>
  <si>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</si>
  <si>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</si>
  <si>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</si>
  <si>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</si>
  <si>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</si>
  <si>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</si>
  <si>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</si>
  <si>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</si>
  <si>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</si>
  <si>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</si>
  <si>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</si>
  <si>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</si>
  <si>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</si>
  <si>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</si>
  <si>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</si>
  <si>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</si>
  <si>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</si>
  <si>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</si>
  <si>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</si>
  <si>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</si>
  <si>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</si>
  <si>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</si>
  <si>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</si>
  <si>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</si>
  <si>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</si>
  <si>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</si>
  <si>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</si>
  <si>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</si>
  <si>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</si>
  <si>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</si>
  <si>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</si>
  <si>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</si>
  <si>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</si>
  <si>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</si>
  <si>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</si>
  <si>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</si>
  <si>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</si>
  <si>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</si>
  <si>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</si>
  <si>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</si>
  <si>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</si>
  <si>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</si>
  <si>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</si>
  <si>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</si>
  <si>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</si>
  <si>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</si>
  <si>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</si>
  <si>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</si>
  <si>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</si>
  <si>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</si>
  <si>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</si>
  <si>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</si>
  <si>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</si>
  <si>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</si>
  <si>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</si>
  <si>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</si>
  <si>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</si>
  <si>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</si>
  <si>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</si>
  <si>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</si>
  <si>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</si>
  <si>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</si>
  <si>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</si>
  <si>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</si>
  <si>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</si>
  <si>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</si>
  <si>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</si>
  <si>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</si>
  <si>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</si>
  <si>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</si>
  <si>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</si>
  <si>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</si>
  <si>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</si>
  <si>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</si>
  <si>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</si>
  <si>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</si>
  <si>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</si>
  <si>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</si>
  <si>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</si>
  <si>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</si>
  <si>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</si>
  <si>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</si>
  <si>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</si>
  <si>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</si>
  <si>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</si>
  <si>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</si>
  <si>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</si>
  <si>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</si>
  <si>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</si>
  <si>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</si>
  <si>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</si>
  <si>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</si>
  <si>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</si>
  <si>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</si>
  <si>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</si>
  <si>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</si>
  <si>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</si>
  <si>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</si>
  <si>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</si>
  <si>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</si>
  <si>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</si>
  <si>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</si>
  <si>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</si>
  <si>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</si>
  <si>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</si>
  <si>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</si>
  <si>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</si>
  <si>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</si>
  <si>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</si>
  <si>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</si>
  <si>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</si>
  <si>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</si>
  <si>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</si>
  <si>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</si>
  <si>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</si>
  <si>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</si>
  <si>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</si>
  <si>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</si>
  <si>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</si>
  <si>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</si>
  <si>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</si>
  <si>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</si>
  <si>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</si>
  <si>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</si>
  <si>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</si>
  <si>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</si>
  <si>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</si>
  <si>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</si>
  <si>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</si>
  <si>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</si>
  <si>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</si>
  <si>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</si>
  <si>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</si>
  <si>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</si>
  <si>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</si>
  <si>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</si>
  <si>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</si>
  <si>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</si>
  <si>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</si>
  <si>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</si>
  <si>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</si>
  <si>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</si>
  <si>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</si>
  <si>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</si>
  <si>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</si>
  <si>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</si>
  <si>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</si>
  <si>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</si>
  <si>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</si>
  <si>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</si>
  <si>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</si>
  <si>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</si>
  <si>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</si>
  <si>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</si>
  <si>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</si>
  <si>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</si>
  <si>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</si>
  <si>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</si>
  <si>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</si>
  <si>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</si>
  <si>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</si>
  <si>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</si>
  <si>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</si>
  <si>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</si>
  <si>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</si>
  <si>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</si>
  <si>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</si>
  <si>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</si>
  <si>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</si>
  <si>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</si>
  <si>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</si>
  <si>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</si>
  <si>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</si>
  <si>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</si>
  <si>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</si>
  <si>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</si>
  <si>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</si>
  <si>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</si>
  <si>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</si>
  <si>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</si>
  <si>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</si>
  <si>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</si>
  <si>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</si>
  <si>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</si>
  <si>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</si>
  <si>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</si>
  <si>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</si>
  <si>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</si>
  <si>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</si>
  <si>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</si>
  <si>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</si>
  <si>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</si>
  <si>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</si>
  <si>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</si>
  <si>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</si>
  <si>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</si>
  <si>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</si>
  <si>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</si>
  <si>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</si>
  <si>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</si>
  <si>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</si>
  <si>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</si>
  <si>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</si>
  <si>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</si>
  <si>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</si>
  <si>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</si>
  <si>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</si>
  <si>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</si>
  <si>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</si>
  <si>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</si>
  <si>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</si>
  <si>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</si>
  <si>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</si>
  <si>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</si>
  <si>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</si>
  <si>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</si>
  <si>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</si>
  <si>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</si>
  <si>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</si>
  <si>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</si>
  <si>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</si>
  <si>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</si>
  <si>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</si>
  <si>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</si>
  <si>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</si>
  <si>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</si>
  <si>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</si>
  <si>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</si>
  <si>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</si>
  <si>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</si>
  <si>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</si>
  <si>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</si>
  <si>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</si>
  <si>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</si>
  <si>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</si>
  <si>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</si>
  <si>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</si>
  <si>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</si>
  <si>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</si>
  <si>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</si>
  <si>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</si>
  <si>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</si>
  <si>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</si>
  <si>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</si>
  <si>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</si>
  <si>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</si>
  <si>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</si>
  <si>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</si>
  <si>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</si>
  <si>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</si>
  <si>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</si>
  <si>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</si>
  <si>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</si>
  <si>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</si>
  <si>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</si>
  <si>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</si>
  <si>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</si>
  <si>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</si>
  <si>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</si>
  <si>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</si>
  <si>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</si>
  <si>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</si>
  <si>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</si>
  <si>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</si>
  <si>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</si>
  <si>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</si>
  <si>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</si>
  <si>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</si>
  <si>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</si>
  <si>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</si>
  <si>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</si>
  <si>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</si>
  <si>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</si>
  <si>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</si>
  <si>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</si>
  <si>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</si>
  <si>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</si>
  <si>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</si>
  <si>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</si>
  <si>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</si>
  <si>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</si>
  <si>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</si>
  <si>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</si>
  <si>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</si>
  <si>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</si>
  <si>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</si>
  <si>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</si>
  <si>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</si>
  <si>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</si>
  <si>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</si>
  <si>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</si>
  <si>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</si>
  <si>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</si>
  <si>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</si>
  <si>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</si>
  <si>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</si>
  <si>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</si>
  <si>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</si>
  <si>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</si>
  <si>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</si>
  <si>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</si>
  <si>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</si>
  <si>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</si>
  <si>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</si>
  <si>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</si>
  <si>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</si>
  <si>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</si>
  <si>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</si>
  <si>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</si>
  <si>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</si>
  <si>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</si>
  <si>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</si>
  <si>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</si>
  <si>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</si>
  <si>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</si>
  <si>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</si>
  <si>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</si>
  <si>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</si>
  <si>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</si>
  <si>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</si>
  <si>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</si>
  <si>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</si>
  <si>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</si>
  <si>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</si>
  <si>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</si>
  <si>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</si>
  <si>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</si>
  <si>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</si>
  <si>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</si>
  <si>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</si>
  <si>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</si>
  <si>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</si>
  <si>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</si>
  <si>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</si>
  <si>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</si>
  <si>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</si>
  <si>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</si>
  <si>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</si>
  <si>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</si>
  <si>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</si>
  <si>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</si>
  <si>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</si>
  <si>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</si>
  <si>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</si>
  <si>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</si>
  <si>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</si>
  <si>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</si>
  <si>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</si>
  <si>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</si>
  <si>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</si>
  <si>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</si>
  <si>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</si>
  <si>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</si>
  <si>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</si>
  <si>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</si>
  <si>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</si>
  <si>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</si>
  <si>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</si>
  <si>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</si>
  <si>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</si>
  <si>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</si>
  <si>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</si>
  <si>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</si>
  <si>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</si>
  <si>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</si>
  <si>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</si>
  <si>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</si>
  <si>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</si>
  <si>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</si>
  <si>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</si>
  <si>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</si>
  <si>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</si>
  <si>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</si>
  <si>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</si>
  <si>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</si>
  <si>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</si>
  <si>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</si>
  <si>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</si>
  <si>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</si>
  <si>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</si>
  <si>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</si>
  <si>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</si>
  <si>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</si>
  <si>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</si>
  <si>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</si>
  <si>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</si>
  <si>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</si>
  <si>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</si>
  <si>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</si>
  <si>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</si>
  <si>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</si>
  <si>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</si>
  <si>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</si>
  <si>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</si>
  <si>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</si>
  <si>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</si>
  <si>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</si>
  <si>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</si>
  <si>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</si>
  <si>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</si>
  <si>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</si>
  <si>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</si>
  <si>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</si>
  <si>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</si>
  <si>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</si>
  <si>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</si>
  <si>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</si>
  <si>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</si>
  <si>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</si>
  <si>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</si>
  <si>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</si>
  <si>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</si>
  <si>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</si>
  <si>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</si>
  <si>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</si>
  <si>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</si>
  <si>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</si>
  <si>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</si>
  <si>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</si>
  <si>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</si>
  <si>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</si>
  <si>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</si>
  <si>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</si>
  <si>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</si>
  <si>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</si>
  <si>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</si>
  <si>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</si>
  <si>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</si>
  <si>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</si>
  <si>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</si>
  <si>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</si>
  <si>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</si>
  <si>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</si>
  <si>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</si>
  <si>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</si>
  <si>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</si>
  <si>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</si>
  <si>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</si>
  <si>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</si>
  <si>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</si>
  <si>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</si>
  <si>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</si>
  <si>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</si>
  <si>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</si>
  <si>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</si>
  <si>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</si>
  <si>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</si>
  <si>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</si>
  <si>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</si>
  <si>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</si>
  <si>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</si>
  <si>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</si>
  <si>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</si>
  <si>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</si>
  <si>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</si>
  <si>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</si>
  <si>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</si>
  <si>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</si>
  <si>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</si>
  <si>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</si>
  <si>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</si>
  <si>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</si>
  <si>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</si>
  <si>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</si>
  <si>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</si>
  <si>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</si>
  <si>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</si>
  <si>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</si>
  <si>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</si>
  <si>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</si>
  <si>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</si>
  <si>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</si>
  <si>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</si>
  <si>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</si>
  <si>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</si>
  <si>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</si>
  <si>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</si>
  <si>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</si>
  <si>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</si>
  <si>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</si>
  <si>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</si>
  <si>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</si>
  <si>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</si>
  <si>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</si>
  <si>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</si>
  <si>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</si>
  <si>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</si>
  <si>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</si>
  <si>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</si>
  <si>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</si>
  <si>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</si>
  <si>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</si>
  <si>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</si>
  <si>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</si>
  <si>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</si>
  <si>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</si>
  <si>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</si>
  <si>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</si>
  <si>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</si>
  <si>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</si>
  <si>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</si>
  <si>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</si>
  <si>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</si>
  <si>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</si>
  <si>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</si>
  <si>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</si>
  <si>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</si>
  <si>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</si>
  <si>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</si>
  <si>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</si>
  <si>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</si>
  <si>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</si>
  <si>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</si>
  <si>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</si>
  <si>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</si>
  <si>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</si>
  <si>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</si>
  <si>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</si>
  <si>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</si>
  <si>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</si>
  <si>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</si>
  <si>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</si>
  <si>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</si>
  <si>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</si>
  <si>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</si>
  <si>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</si>
  <si>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</si>
  <si>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</si>
  <si>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</si>
  <si>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</si>
  <si>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</si>
  <si>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</si>
  <si>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</si>
  <si>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</si>
  <si>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</si>
  <si>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</si>
  <si>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</si>
  <si>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</si>
  <si>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</si>
  <si>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</si>
  <si>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</si>
  <si>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</si>
  <si>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</si>
  <si>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</si>
  <si>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</si>
  <si>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</si>
  <si>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</si>
  <si>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</si>
  <si>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</si>
  <si>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</si>
  <si>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</si>
  <si>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</si>
  <si>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</si>
  <si>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</si>
  <si>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</si>
  <si>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</si>
  <si>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</si>
  <si>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</si>
  <si>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</si>
  <si>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</si>
  <si>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</si>
  <si>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</si>
  <si>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</si>
  <si>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</si>
  <si>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</si>
  <si>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</si>
  <si>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</si>
  <si>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</si>
  <si>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</si>
  <si>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</si>
  <si>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</si>
  <si>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</si>
  <si>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</si>
  <si>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</si>
  <si>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</si>
  <si>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</si>
  <si>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</si>
  <si>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</si>
  <si>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</si>
  <si>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</si>
  <si>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</si>
  <si>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</si>
  <si>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</si>
  <si>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</si>
  <si>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</si>
  <si>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</si>
  <si>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</si>
  <si>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</si>
  <si>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</si>
  <si>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</si>
  <si>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</si>
  <si>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</si>
  <si>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</si>
  <si>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</si>
  <si>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</si>
  <si>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</si>
  <si>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</si>
  <si>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</si>
  <si>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</si>
  <si>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</si>
  <si>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</si>
  <si>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</si>
  <si>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</si>
  <si>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</si>
  <si>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</si>
  <si>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</si>
  <si>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</si>
  <si>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</si>
  <si>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</si>
  <si>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</si>
  <si>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</si>
  <si>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</si>
  <si>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</si>
  <si>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</si>
  <si>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</si>
  <si>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</si>
  <si>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</si>
  <si>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</si>
  <si>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</si>
  <si>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</si>
  <si>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</si>
  <si>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</si>
  <si>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</si>
  <si>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</si>
  <si>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</si>
  <si>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</si>
  <si>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</si>
  <si>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</si>
  <si>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</si>
  <si>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</si>
  <si>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</si>
  <si>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</si>
  <si>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</si>
  <si>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</si>
  <si>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</si>
  <si>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</si>
  <si>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</si>
  <si>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</si>
  <si>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</si>
  <si>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</si>
  <si>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</si>
  <si>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</si>
  <si>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</si>
  <si>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</si>
  <si>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</si>
  <si>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</si>
  <si>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</si>
  <si>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</si>
  <si>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</si>
  <si>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</si>
  <si>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</si>
  <si>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</si>
  <si>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</si>
  <si>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</si>
  <si>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</si>
  <si>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</si>
  <si>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</si>
  <si>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</si>
  <si>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</si>
  <si>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</si>
  <si>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</si>
  <si>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</si>
  <si>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</si>
  <si>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</si>
  <si>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</si>
  <si>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</si>
  <si>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</si>
  <si>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</si>
  <si>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</si>
  <si>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</si>
  <si>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</si>
  <si>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</si>
  <si>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</si>
  <si>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</si>
  <si>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</si>
  <si>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</si>
  <si>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</si>
  <si>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</si>
  <si>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</si>
  <si>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</si>
  <si>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</si>
  <si>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</si>
  <si>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</si>
  <si>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</si>
  <si>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</si>
  <si>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</si>
  <si>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</si>
  <si>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</si>
  <si>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</si>
  <si>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</si>
  <si>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</si>
  <si>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</si>
  <si>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</si>
  <si>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</si>
  <si>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</si>
  <si>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</si>
  <si>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</si>
  <si>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</si>
  <si>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</si>
  <si>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</si>
  <si>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</si>
  <si>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</si>
  <si>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</si>
  <si>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</si>
  <si>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</si>
  <si>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</si>
  <si>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</si>
  <si>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</si>
  <si>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</si>
  <si>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</si>
  <si>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</si>
  <si>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</si>
  <si>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</si>
  <si>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</si>
  <si>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</si>
  <si>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</si>
  <si>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</si>
  <si>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</si>
  <si>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</si>
  <si>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</si>
  <si>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</si>
  <si>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</si>
  <si>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</si>
  <si>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</si>
  <si>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</si>
  <si>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</si>
  <si>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</si>
  <si>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</si>
  <si>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</si>
  <si>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</si>
  <si>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</si>
  <si>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</si>
  <si>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</si>
  <si>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</si>
  <si>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</si>
  <si>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</si>
  <si>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</si>
  <si>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</si>
  <si>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</si>
  <si>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</si>
  <si>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</si>
  <si>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</si>
  <si>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</si>
  <si>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</si>
  <si>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</si>
  <si>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</si>
  <si>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</si>
  <si>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</si>
  <si>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</si>
  <si>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</si>
  <si>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</si>
  <si>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</si>
  <si>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</si>
  <si>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</si>
  <si>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</si>
  <si>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</si>
  <si>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</si>
  <si>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</si>
  <si>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</si>
  <si>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</si>
  <si>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</si>
  <si>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</si>
  <si>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</si>
  <si>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</si>
  <si>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</si>
  <si>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</si>
  <si>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</si>
  <si>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</si>
  <si>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</si>
  <si>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</si>
  <si>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</si>
  <si>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</si>
  <si>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</si>
  <si>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</si>
  <si>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</si>
  <si>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</si>
  <si>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</si>
  <si>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</si>
  <si>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</si>
  <si>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</si>
  <si>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</si>
  <si>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</si>
  <si>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</si>
  <si>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</si>
  <si>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</si>
  <si>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</si>
  <si>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</si>
  <si>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</si>
  <si>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</si>
  <si>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</si>
  <si>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</si>
  <si>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</si>
  <si>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</si>
  <si>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</si>
  <si>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</si>
  <si>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</si>
  <si>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</si>
  <si>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</si>
  <si>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</si>
  <si>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</si>
  <si>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</si>
  <si>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</si>
  <si>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</si>
  <si>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</si>
  <si>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</si>
  <si>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</si>
  <si>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</si>
  <si>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</si>
  <si>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</si>
  <si>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</si>
  <si>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</si>
  <si>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</si>
  <si>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</si>
  <si>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</si>
  <si>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</si>
  <si>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</si>
  <si>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</si>
  <si>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</si>
  <si>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</si>
  <si>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</si>
  <si>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</si>
  <si>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</si>
  <si>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</si>
  <si>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</si>
  <si>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</si>
  <si>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</si>
  <si>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</si>
  <si>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</si>
  <si>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</si>
  <si>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</si>
  <si>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</si>
  <si>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</si>
  <si>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</si>
  <si>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</si>
  <si>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</si>
  <si>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</si>
  <si>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</si>
  <si>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</si>
  <si>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</si>
  <si>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</si>
  <si>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</si>
  <si>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</si>
  <si>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</si>
  <si>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</si>
  <si>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</si>
  <si>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</si>
  <si>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</si>
  <si>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</si>
  <si>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</si>
  <si>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</si>
  <si>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</si>
  <si>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</si>
  <si>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</si>
  <si>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</si>
  <si>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</si>
  <si>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</si>
  <si>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</si>
  <si>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</si>
  <si>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</si>
  <si>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</si>
  <si>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</si>
  <si>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</si>
  <si>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</si>
  <si>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</si>
  <si>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</si>
  <si>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</si>
  <si>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</si>
  <si>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</si>
  <si>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</si>
  <si>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</si>
  <si>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</si>
  <si>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</si>
  <si>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</si>
  <si>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</si>
  <si>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</si>
  <si>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</si>
  <si>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</si>
  <si>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</si>
  <si>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</si>
  <si>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</si>
  <si>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</si>
  <si>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</si>
  <si>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</si>
  <si>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</si>
  <si>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</si>
  <si>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</si>
  <si>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</si>
  <si>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</si>
  <si>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</si>
  <si>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</si>
  <si>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</si>
  <si>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</si>
  <si>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</si>
  <si>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</si>
  <si>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</si>
  <si>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</si>
  <si>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</si>
  <si>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</si>
  <si>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</si>
  <si>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</si>
  <si>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</si>
  <si>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</si>
  <si>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</si>
  <si>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</si>
  <si>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</si>
  <si>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</si>
  <si>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</si>
  <si>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</si>
  <si>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</si>
  <si>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</si>
  <si>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</si>
  <si>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</si>
  <si>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</si>
  <si>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</si>
  <si>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</si>
  <si>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</si>
  <si>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</si>
  <si>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</si>
  <si>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</si>
  <si>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</si>
  <si>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</si>
  <si>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</si>
  <si>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</si>
  <si>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</si>
  <si>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</si>
  <si>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</si>
  <si>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</si>
  <si>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</si>
  <si>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</si>
  <si>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</si>
  <si>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</si>
  <si>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</si>
  <si>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</si>
  <si>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</si>
  <si>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</si>
  <si>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</si>
  <si>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</si>
  <si>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</si>
  <si>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</si>
  <si>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</si>
  <si>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</si>
  <si>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</si>
  <si>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</si>
  <si>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</si>
  <si>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</si>
  <si>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</si>
  <si>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</si>
  <si>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</si>
  <si>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</si>
  <si>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</si>
  <si>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</si>
  <si>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</si>
  <si>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</si>
  <si>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</si>
  <si>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</si>
  <si>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</si>
  <si>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</si>
  <si>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</si>
  <si>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</si>
  <si>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</si>
  <si>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</si>
  <si>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</si>
  <si>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</si>
  <si>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</si>
  <si>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</si>
  <si>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</si>
  <si>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</si>
  <si>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</si>
  <si>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</si>
  <si>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</si>
  <si>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</si>
  <si>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</si>
  <si>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</si>
  <si>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</si>
  <si>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</si>
  <si>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</si>
  <si>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</si>
  <si>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</si>
  <si>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</si>
  <si>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</si>
  <si>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</si>
  <si>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</si>
  <si>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</si>
  <si>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</si>
  <si>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</si>
  <si>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</si>
  <si>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</si>
  <si>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</si>
  <si>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</si>
  <si>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</si>
  <si>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</si>
  <si>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</si>
  <si>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</si>
  <si>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</si>
  <si>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</si>
  <si>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</si>
  <si>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</si>
  <si>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</si>
  <si>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</si>
  <si>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</si>
  <si>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</si>
  <si>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</si>
  <si>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</si>
  <si>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</si>
  <si>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</si>
  <si>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</si>
  <si>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</si>
  <si>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</si>
  <si>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</si>
  <si>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</si>
  <si>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</si>
  <si>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</si>
  <si>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</si>
  <si>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</si>
  <si>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</si>
  <si>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</si>
  <si>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</si>
  <si>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</si>
  <si>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</si>
  <si>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</si>
  <si>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</si>
  <si>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</si>
  <si>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</si>
  <si>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</si>
  <si>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</si>
  <si>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</si>
  <si>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</si>
  <si>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</si>
  <si>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</si>
  <si>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</si>
  <si>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</si>
  <si>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</si>
  <si>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</si>
  <si>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</si>
  <si>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</si>
  <si>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</si>
  <si>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</si>
  <si>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</si>
  <si>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</si>
  <si>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</si>
  <si>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</si>
  <si>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</si>
  <si>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</si>
  <si>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</si>
  <si>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</si>
  <si>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</si>
  <si>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</si>
  <si>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</si>
  <si>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</si>
  <si>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</si>
  <si>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</si>
  <si>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</si>
  <si>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</si>
  <si>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</si>
  <si>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</si>
  <si>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</si>
  <si>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</si>
  <si>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</si>
  <si>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</si>
  <si>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</si>
  <si>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</si>
  <si>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</si>
  <si>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</si>
  <si>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</si>
  <si>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</si>
  <si>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</si>
  <si>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</si>
  <si>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</si>
  <si>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</si>
  <si>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</si>
  <si>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</si>
  <si>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</si>
  <si>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</si>
  <si>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</si>
  <si>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</si>
  <si>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</si>
  <si>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</si>
  <si>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</si>
  <si>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</si>
  <si>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</si>
  <si>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</si>
  <si>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</si>
  <si>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</si>
  <si>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</si>
  <si>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</si>
  <si>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</si>
  <si>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</si>
  <si>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</si>
  <si>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</si>
  <si>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</si>
  <si>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</si>
  <si>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</si>
  <si>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</si>
  <si>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</si>
  <si>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</si>
  <si>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</si>
  <si>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</si>
  <si>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</si>
  <si>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</si>
  <si>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</si>
  <si>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</si>
  <si>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</si>
  <si>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</si>
  <si>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</si>
  <si>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</si>
  <si>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</si>
  <si>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</si>
  <si>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</si>
  <si>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</si>
  <si>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</si>
  <si>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</si>
  <si>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</si>
  <si>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</si>
  <si>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</si>
  <si>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</si>
  <si>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</si>
  <si>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</si>
  <si>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</si>
  <si>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</si>
  <si>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</si>
  <si>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</si>
  <si>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</si>
  <si>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</si>
  <si>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</si>
  <si>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</si>
  <si>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</si>
  <si>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</si>
  <si>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</si>
  <si>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</si>
  <si>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</si>
  <si>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</si>
  <si>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</si>
  <si>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</si>
  <si>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</si>
  <si>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</si>
  <si>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</si>
  <si>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</si>
  <si>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</si>
  <si>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</si>
  <si>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</si>
  <si>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</si>
  <si>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</si>
  <si>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</si>
  <si>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</si>
  <si>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</si>
  <si>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</si>
  <si>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</si>
  <si>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</si>
  <si>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</si>
  <si>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</si>
  <si>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</si>
  <si>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</si>
  <si>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</si>
  <si>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</si>
  <si>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</si>
  <si>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</si>
  <si>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</si>
  <si>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</si>
  <si>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</si>
  <si>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</si>
  <si>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</si>
  <si>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</si>
  <si>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</si>
  <si>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</si>
  <si>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</si>
  <si>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</si>
  <si>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</si>
  <si>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</si>
  <si>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</si>
  <si>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</si>
  <si>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</si>
  <si>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</si>
  <si>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</si>
  <si>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</si>
  <si>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</si>
  <si>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</si>
  <si>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</si>
  <si>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</si>
  <si>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</si>
  <si>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</si>
  <si>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</si>
  <si>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</si>
  <si>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</si>
  <si>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</si>
  <si>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</si>
  <si>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</si>
  <si>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</si>
  <si>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</si>
  <si>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</si>
  <si>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</si>
  <si>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</si>
  <si>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</si>
  <si>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</si>
  <si>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</si>
  <si>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</si>
  <si>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</si>
  <si>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</si>
  <si>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</si>
  <si>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</si>
  <si>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</si>
  <si>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</si>
  <si>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</si>
  <si>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</si>
  <si>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</si>
  <si>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</si>
  <si>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</si>
  <si>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</si>
  <si>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</si>
  <si>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</si>
  <si>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</si>
  <si>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</si>
  <si>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</si>
  <si>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</si>
  <si>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</si>
  <si>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</si>
  <si>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</si>
  <si>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</si>
  <si>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</si>
  <si>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</si>
  <si>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</si>
  <si>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</si>
  <si>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</si>
  <si>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</si>
  <si>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</si>
  <si>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</si>
  <si>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</si>
  <si>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</si>
  <si>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</si>
  <si>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</si>
  <si>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</si>
  <si>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</si>
  <si>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</si>
  <si>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</si>
  <si>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</si>
  <si>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</si>
  <si>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</si>
  <si>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</si>
  <si>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</si>
  <si>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</si>
  <si>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</si>
  <si>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</si>
  <si>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</si>
  <si>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</si>
  <si>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</si>
  <si>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</si>
  <si>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</si>
  <si>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</si>
  <si>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</si>
  <si>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</si>
  <si>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</si>
  <si>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</si>
  <si>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</si>
  <si>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</si>
  <si>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</si>
  <si>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</si>
  <si>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</si>
  <si>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</si>
  <si>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</si>
  <si>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</si>
  <si>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</si>
  <si>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</si>
  <si>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</si>
  <si>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</si>
  <si>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</si>
  <si>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</si>
  <si>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</si>
  <si>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</si>
  <si>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</si>
  <si>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</si>
  <si>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</si>
  <si>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</si>
  <si>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</si>
  <si>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</si>
  <si>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</si>
  <si>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</si>
  <si>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</si>
  <si>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</si>
  <si>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</si>
  <si>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</si>
  <si>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</si>
  <si>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</si>
  <si>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</si>
  <si>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</si>
  <si>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</si>
  <si>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</si>
  <si>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</si>
  <si>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</si>
  <si>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</si>
  <si>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</si>
  <si>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</si>
  <si>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</si>
  <si>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</si>
  <si>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</si>
  <si>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</si>
  <si>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</si>
  <si>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</si>
  <si>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</si>
  <si>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</si>
  <si>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</si>
  <si>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</si>
  <si>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</si>
  <si>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</si>
  <si>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</si>
  <si>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</si>
  <si>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</si>
  <si>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</si>
  <si>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</si>
  <si>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</si>
  <si>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</si>
  <si>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</si>
  <si>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</si>
  <si>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</si>
  <si>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</si>
  <si>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</si>
  <si>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</si>
  <si>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</si>
  <si>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</si>
  <si>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</si>
  <si>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</si>
  <si>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</si>
  <si>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</si>
  <si>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</si>
  <si>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</si>
  <si>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</si>
  <si>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</si>
  <si>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</si>
  <si>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</si>
  <si>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</si>
  <si>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</si>
  <si>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</si>
  <si>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</si>
  <si>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</si>
  <si>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</si>
  <si>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</si>
  <si>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</si>
  <si>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</si>
  <si>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</si>
  <si>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</si>
  <si>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</si>
  <si>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</si>
  <si>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</si>
  <si>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</si>
  <si>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</si>
  <si>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</si>
  <si>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</si>
  <si>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</si>
  <si>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</si>
  <si>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</si>
  <si>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</si>
  <si>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</si>
  <si>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</si>
  <si>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</si>
  <si>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</si>
  <si>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</si>
  <si>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</si>
  <si>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</si>
  <si>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</si>
  <si>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</si>
  <si>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</si>
  <si>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</si>
  <si>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</si>
  <si>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</si>
  <si>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</si>
  <si>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</si>
  <si>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</si>
  <si>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</si>
  <si>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</si>
  <si>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</si>
  <si>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</si>
  <si>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</si>
  <si>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</si>
  <si>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</si>
  <si>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</si>
  <si>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</si>
  <si>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</si>
  <si>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</si>
  <si>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</si>
  <si>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</si>
  <si>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</si>
  <si>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</si>
  <si>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</si>
  <si>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</si>
  <si>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</si>
  <si>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</si>
  <si>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</si>
  <si>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</si>
  <si>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</si>
  <si>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</si>
  <si>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</si>
  <si>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</si>
  <si>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</si>
  <si>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</si>
  <si>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</si>
  <si>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</si>
  <si>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</si>
  <si>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</si>
  <si>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</si>
  <si>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</si>
  <si>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</si>
  <si>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</si>
  <si>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</si>
  <si>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</si>
  <si>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</si>
  <si>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</si>
  <si>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</si>
  <si>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</si>
  <si>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</si>
  <si>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</si>
  <si>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</si>
  <si>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</si>
  <si>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</si>
  <si>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</si>
  <si>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</si>
  <si>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</si>
  <si>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</si>
  <si>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</si>
  <si>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</si>
  <si>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</si>
  <si>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</si>
  <si>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</si>
  <si>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</si>
  <si>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</si>
  <si>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</si>
  <si>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</si>
  <si>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</si>
  <si>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</si>
  <si>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</si>
  <si>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</si>
  <si>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</si>
  <si>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</si>
  <si>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</si>
  <si>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</si>
  <si>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</si>
  <si>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</si>
  <si>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</si>
  <si>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</si>
  <si>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</si>
  <si>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</si>
  <si>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</si>
  <si>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</si>
  <si>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</si>
  <si>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</si>
  <si>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</si>
  <si>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</si>
  <si>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</si>
  <si>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</si>
  <si>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</si>
  <si>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</si>
  <si>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</si>
  <si>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</si>
  <si>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</si>
  <si>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</si>
  <si>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</si>
  <si>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</si>
  <si>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</si>
  <si>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</si>
  <si>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</si>
  <si>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</si>
  <si>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</si>
  <si>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</si>
  <si>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</si>
  <si>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</si>
  <si>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</si>
  <si>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</si>
  <si>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</si>
  <si>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</si>
  <si>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</si>
  <si>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</si>
  <si>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</si>
  <si>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</si>
  <si>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</si>
  <si>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</si>
  <si>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</si>
  <si>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</si>
  <si>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</si>
  <si>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</si>
  <si>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</si>
  <si>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</si>
  <si>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</si>
  <si>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</si>
  <si>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</si>
  <si>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</si>
  <si>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</si>
  <si>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</si>
  <si>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</si>
  <si>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</si>
  <si>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</si>
  <si>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</si>
  <si>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</si>
  <si>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</si>
  <si>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</si>
  <si>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</si>
  <si>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</si>
  <si>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</si>
  <si>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</si>
  <si>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</si>
  <si>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</si>
  <si>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</si>
  <si>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</si>
  <si>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</si>
  <si>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</si>
  <si>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</si>
  <si>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</si>
  <si>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</si>
  <si>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</si>
  <si>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</si>
  <si>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</si>
  <si>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</si>
  <si>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</si>
  <si>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</si>
  <si>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</si>
  <si>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</si>
  <si>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</si>
  <si>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</si>
  <si>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</si>
  <si>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</si>
  <si>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</si>
  <si>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</si>
  <si>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</si>
  <si>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</si>
  <si>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</si>
  <si>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</si>
  <si>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</si>
  <si>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</si>
  <si>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</si>
  <si>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</si>
  <si>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</si>
  <si>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</si>
  <si>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</si>
  <si>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</si>
  <si>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</si>
  <si>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</si>
  <si>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</si>
  <si>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</si>
  <si>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</si>
  <si>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</si>
  <si>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</si>
  <si>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</si>
  <si>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</si>
  <si>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</si>
  <si>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</si>
  <si>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</si>
  <si>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</si>
  <si>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</si>
  <si>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</si>
  <si>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</si>
  <si>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</si>
  <si>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</si>
  <si>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</si>
  <si>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</si>
  <si>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</si>
  <si>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</si>
  <si>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</si>
  <si>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</si>
  <si>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</si>
  <si>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</si>
  <si>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</si>
  <si>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</si>
  <si>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</si>
  <si>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</si>
  <si>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</si>
  <si>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</si>
  <si>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</si>
  <si>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</si>
  <si>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</si>
  <si>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</si>
  <si>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</si>
  <si>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</si>
  <si>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</si>
  <si>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</si>
  <si>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</si>
  <si>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</si>
  <si>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</si>
  <si>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</si>
  <si>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</si>
  <si>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</si>
  <si>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</si>
  <si>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</si>
  <si>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</si>
  <si>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</si>
  <si>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</si>
  <si>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</si>
  <si>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</si>
  <si>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</si>
  <si>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</si>
  <si>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</si>
  <si>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</si>
  <si>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</si>
  <si>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</si>
  <si>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</si>
  <si>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</si>
  <si>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</si>
  <si>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</si>
  <si>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</si>
  <si>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</si>
  <si>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</si>
  <si>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</si>
  <si>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</si>
  <si>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</si>
  <si>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</si>
  <si>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</si>
  <si>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</si>
  <si>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</si>
  <si>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</si>
  <si>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</si>
  <si>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</si>
  <si>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</si>
  <si>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</si>
  <si>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</si>
  <si>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</si>
  <si>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</si>
  <si>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</si>
  <si>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</si>
  <si>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</si>
  <si>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</si>
  <si>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</si>
  <si>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</si>
  <si>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</si>
  <si>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</si>
  <si>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</si>
  <si>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</si>
  <si>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</si>
  <si>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</si>
  <si>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</si>
  <si>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</si>
  <si>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</si>
  <si>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</si>
  <si>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</si>
  <si>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</si>
  <si>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</si>
  <si>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</si>
  <si>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</si>
  <si>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</si>
  <si>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</si>
  <si>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</si>
  <si>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</si>
  <si>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</si>
  <si>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</si>
  <si>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</si>
  <si>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</si>
  <si>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</si>
  <si>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</si>
  <si>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</si>
  <si>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</si>
  <si>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</si>
  <si>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</si>
  <si>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</si>
  <si>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</si>
  <si>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</si>
  <si>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</si>
  <si>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</si>
  <si>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</si>
  <si>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</si>
  <si>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</si>
  <si>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</si>
  <si>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</si>
  <si>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</si>
  <si>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</si>
  <si>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</si>
  <si>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</si>
  <si>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</si>
  <si>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</si>
  <si>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</si>
  <si>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</si>
  <si>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</si>
  <si>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</si>
  <si>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</si>
  <si>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</si>
  <si>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</si>
  <si>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</si>
  <si>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</si>
  <si>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</si>
  <si>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</si>
  <si>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</si>
  <si>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</si>
  <si>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</si>
  <si>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</si>
  <si>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</si>
  <si>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</si>
  <si>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</si>
  <si>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</si>
  <si>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</si>
  <si>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</si>
  <si>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</si>
  <si>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</si>
  <si>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</si>
  <si>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</si>
  <si>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</si>
  <si>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</si>
  <si>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</si>
  <si>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</si>
  <si>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</si>
  <si>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</si>
  <si>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</si>
  <si>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</si>
  <si>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</si>
  <si>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</si>
  <si>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</si>
  <si>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</si>
  <si>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</si>
  <si>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</si>
  <si>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</si>
  <si>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</si>
  <si>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</si>
  <si>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</si>
  <si>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</si>
  <si>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</si>
  <si>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</si>
  <si>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</si>
  <si>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</si>
  <si>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</si>
  <si>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</si>
  <si>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</si>
  <si>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</si>
  <si>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</si>
  <si>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</si>
  <si>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</si>
  <si>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</si>
  <si>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</si>
  <si>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</si>
  <si>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</si>
  <si>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</si>
  <si>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</si>
  <si>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</si>
  <si>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</si>
  <si>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</si>
  <si>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</si>
  <si>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</si>
  <si>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</si>
  <si>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</si>
  <si>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</si>
  <si>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</si>
  <si>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</si>
  <si>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</si>
  <si>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</si>
  <si>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</si>
  <si>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</si>
  <si>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</si>
  <si>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</si>
  <si>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</si>
  <si>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</si>
  <si>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</si>
  <si>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</si>
  <si>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</si>
  <si>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</si>
  <si>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</si>
  <si>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</si>
  <si>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</si>
  <si>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</si>
  <si>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</si>
  <si>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</si>
  <si>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</si>
  <si>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</si>
  <si>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</si>
  <si>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</si>
  <si>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</si>
  <si>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</si>
  <si>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</si>
  <si>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</si>
  <si>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</si>
  <si>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</si>
  <si>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</si>
  <si>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</si>
  <si>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</si>
  <si>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</si>
  <si>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</si>
  <si>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</si>
  <si>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</si>
  <si>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</si>
  <si>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</si>
  <si>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</si>
  <si>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</si>
  <si>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</si>
  <si>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</si>
  <si>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</si>
  <si>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</si>
  <si>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</si>
  <si>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</si>
  <si>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</si>
  <si>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</si>
  <si>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</si>
  <si>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</si>
  <si>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</si>
  <si>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</si>
  <si>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</si>
  <si>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</si>
  <si>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</si>
  <si>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</si>
  <si>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</si>
  <si>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</si>
  <si>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</si>
  <si>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</si>
  <si>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</si>
  <si>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</si>
  <si>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</si>
  <si>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</si>
  <si>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</si>
  <si>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</si>
  <si>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</si>
  <si>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</si>
  <si>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</si>
  <si>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</si>
  <si>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</si>
  <si>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</si>
  <si>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</si>
  <si>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</si>
  <si>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</si>
  <si>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</si>
  <si>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</si>
  <si>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</si>
  <si>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</si>
  <si>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</si>
  <si>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</si>
  <si>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</si>
  <si>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</si>
  <si>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</si>
  <si>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</si>
  <si>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</si>
  <si>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</si>
  <si>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</si>
  <si>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</si>
  <si>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</si>
  <si>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</si>
  <si>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</si>
  <si>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</si>
  <si>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</si>
  <si>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</si>
  <si>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</si>
  <si>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</si>
  <si>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</si>
  <si>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</si>
  <si>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</si>
  <si>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</si>
  <si>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</si>
  <si>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</si>
  <si>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</si>
  <si>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</si>
  <si>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</si>
  <si>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</si>
  <si>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</si>
  <si>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</si>
  <si>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</si>
  <si>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</si>
  <si>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</si>
  <si>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</si>
  <si>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</si>
  <si>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</si>
  <si>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</si>
  <si>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</si>
  <si>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</si>
  <si>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</si>
  <si>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</si>
  <si>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</si>
  <si>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</si>
  <si>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</si>
  <si>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</si>
  <si>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</si>
  <si>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</si>
  <si>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</si>
  <si>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</si>
  <si>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</si>
  <si>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</si>
  <si>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</si>
  <si>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</si>
  <si>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</si>
  <si>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</si>
  <si>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</si>
  <si>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</si>
  <si>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</si>
  <si>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</si>
  <si>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</si>
  <si>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</si>
  <si>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</si>
  <si>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</si>
  <si>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</si>
  <si>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</si>
  <si>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</si>
  <si>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</si>
  <si>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</si>
  <si>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</si>
  <si>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</si>
  <si>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</si>
  <si>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</si>
  <si>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</si>
  <si>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</si>
  <si>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</si>
  <si>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</si>
  <si>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</si>
  <si>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</si>
  <si>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</si>
  <si>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</si>
  <si>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</si>
  <si>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</si>
  <si>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</si>
  <si>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</si>
  <si>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</si>
  <si>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</si>
  <si>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</si>
  <si>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</si>
  <si>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</si>
  <si>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</si>
  <si>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</si>
  <si>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</si>
  <si>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</si>
  <si>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</si>
  <si>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</si>
  <si>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</si>
  <si>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</si>
  <si>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</si>
  <si>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</si>
  <si>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</si>
  <si>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</si>
  <si>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</si>
  <si>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</si>
  <si>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</si>
  <si>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</si>
  <si>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</si>
  <si>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</si>
  <si>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</si>
  <si>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</si>
  <si>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</si>
  <si>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</si>
  <si>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</si>
  <si>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</si>
  <si>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</si>
  <si>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</si>
  <si>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</si>
  <si>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</si>
  <si>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</si>
  <si>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</si>
  <si>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</si>
  <si>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</si>
  <si>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</si>
  <si>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</si>
  <si>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</si>
  <si>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</si>
  <si>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</si>
  <si>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</si>
  <si>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</si>
  <si>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</si>
  <si>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</si>
  <si>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</si>
  <si>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</si>
  <si>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</si>
  <si>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</si>
  <si>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</si>
  <si>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</si>
  <si>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</si>
  <si>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</si>
  <si>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</si>
  <si>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</si>
  <si>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</si>
  <si>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</si>
  <si>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</si>
  <si>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</si>
  <si>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</si>
  <si>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</si>
  <si>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</si>
  <si>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</si>
  <si>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</si>
  <si>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</si>
  <si>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</si>
  <si>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</si>
  <si>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</si>
  <si>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</si>
  <si>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</si>
  <si>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</si>
  <si>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</si>
  <si>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</si>
  <si>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</si>
  <si>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</si>
  <si>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</si>
  <si>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</si>
  <si>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</si>
  <si>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</si>
  <si>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</si>
  <si>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</si>
  <si>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</si>
  <si>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</si>
  <si>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</si>
  <si>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</si>
  <si>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</si>
  <si>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</si>
  <si>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</si>
  <si>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</si>
  <si>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</si>
  <si>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</si>
  <si>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</si>
  <si>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</si>
  <si>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</si>
  <si>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</si>
  <si>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</si>
  <si>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</si>
  <si>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</si>
  <si>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</si>
  <si>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</si>
  <si>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</si>
  <si>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</si>
  <si>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</si>
  <si>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</si>
  <si>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</si>
  <si>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</si>
  <si>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</si>
  <si>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</si>
  <si>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</si>
  <si>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</si>
  <si>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</si>
  <si>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</si>
  <si>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</si>
  <si>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</si>
  <si>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</si>
  <si>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</si>
  <si>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</si>
  <si>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</si>
  <si>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</si>
  <si>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</si>
  <si>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</si>
  <si>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</si>
  <si>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</si>
  <si>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</si>
  <si>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</si>
  <si>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</si>
  <si>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</si>
  <si>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</si>
  <si>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</si>
  <si>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</si>
  <si>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</si>
  <si>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</si>
  <si>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</si>
  <si>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</si>
  <si>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</si>
  <si>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</si>
  <si>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</si>
  <si>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</si>
  <si>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</si>
  <si>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</si>
  <si>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</si>
  <si>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</si>
  <si>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</si>
  <si>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</si>
  <si>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</si>
  <si>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</si>
  <si>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</si>
  <si>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</si>
  <si>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</si>
  <si>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</si>
  <si>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</si>
  <si>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</si>
  <si>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</si>
  <si>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</si>
  <si>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</si>
  <si>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</si>
  <si>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</si>
  <si>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</si>
  <si>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</si>
  <si>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</si>
  <si>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</si>
  <si>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</si>
  <si>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</si>
  <si>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</si>
  <si>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</si>
  <si>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</si>
  <si>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</si>
  <si>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</si>
  <si>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</si>
  <si>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</si>
  <si>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</si>
  <si>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</si>
  <si>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</si>
  <si>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</si>
  <si>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</si>
  <si>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</si>
  <si>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</si>
  <si>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</si>
  <si>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</si>
  <si>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</si>
  <si>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</si>
  <si>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</si>
  <si>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</si>
  <si>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</si>
  <si>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</si>
  <si>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</si>
  <si>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</si>
  <si>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</si>
  <si>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</si>
  <si>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</si>
  <si>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</si>
  <si>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</si>
  <si>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</si>
  <si>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</si>
  <si>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</si>
  <si>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</si>
  <si>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</si>
  <si>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</si>
  <si>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</si>
  <si>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</si>
  <si>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</si>
  <si>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</si>
  <si>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</si>
  <si>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</si>
  <si>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</si>
  <si>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</si>
  <si>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</si>
  <si>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</si>
  <si>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</si>
  <si>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</si>
  <si>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</si>
  <si>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</si>
  <si>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</si>
  <si>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</si>
  <si>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</si>
  <si>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</si>
  <si>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</si>
  <si>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</si>
  <si>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</si>
  <si>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</si>
  <si>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</si>
  <si>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</si>
  <si>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</si>
  <si>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</si>
  <si>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</si>
  <si>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</si>
  <si>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</si>
  <si>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</si>
  <si>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</si>
  <si>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</si>
  <si>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</si>
  <si>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</si>
  <si>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</si>
  <si>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</si>
  <si>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</si>
  <si>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</si>
  <si>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</si>
  <si>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</si>
  <si>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</si>
  <si>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</si>
  <si>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</si>
  <si>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</si>
  <si>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</si>
  <si>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</si>
  <si>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</si>
  <si>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</si>
  <si>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</si>
  <si>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</si>
  <si>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</si>
  <si>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</si>
  <si>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</si>
  <si>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</si>
  <si>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</si>
  <si>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</si>
  <si>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</si>
  <si>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</si>
  <si>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</si>
  <si>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</si>
  <si>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</si>
  <si>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</si>
  <si>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</si>
  <si>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</si>
  <si>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</si>
  <si>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</si>
  <si>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</si>
  <si>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</si>
  <si>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</si>
  <si>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</si>
  <si>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</si>
  <si>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</si>
  <si>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</si>
  <si>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</si>
  <si>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</si>
  <si>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</si>
  <si>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</si>
  <si>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</si>
  <si>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</si>
  <si>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</si>
  <si>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</si>
  <si>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</si>
  <si>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</si>
  <si>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</si>
  <si>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</si>
  <si>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</si>
  <si>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</si>
  <si>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</si>
  <si>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</si>
  <si>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</si>
  <si>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</si>
  <si>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</si>
  <si>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</si>
  <si>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</si>
  <si>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</si>
  <si>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</si>
  <si>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</si>
  <si>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</si>
  <si>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</si>
  <si>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</si>
  <si>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</si>
  <si>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</si>
  <si>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</si>
  <si>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</si>
  <si>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</si>
  <si>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</si>
  <si>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</si>
  <si>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</si>
  <si>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</si>
  <si>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</si>
  <si>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</si>
  <si>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</si>
  <si>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</si>
  <si>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</si>
  <si>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</si>
  <si>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</si>
  <si>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</si>
  <si>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</si>
  <si>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</si>
  <si>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</si>
  <si>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</si>
  <si>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</si>
  <si>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</si>
  <si>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</si>
  <si>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</si>
  <si>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</si>
  <si>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</si>
  <si>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</si>
  <si>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</si>
  <si>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</si>
  <si>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</si>
  <si>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</si>
  <si>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</si>
  <si>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</si>
  <si>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</si>
  <si>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</si>
  <si>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</si>
  <si>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</si>
  <si>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</si>
  <si>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</si>
  <si>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</si>
  <si>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</si>
  <si>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</si>
  <si>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</si>
  <si>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</si>
  <si>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</si>
  <si>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</si>
  <si>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</si>
  <si>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</si>
  <si>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</si>
  <si>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</si>
  <si>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</si>
  <si>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</si>
  <si>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</si>
  <si>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</si>
  <si>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</si>
  <si>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</si>
  <si>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</si>
  <si>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</si>
  <si>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</si>
  <si>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</si>
  <si>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</si>
  <si>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</si>
  <si>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</si>
  <si>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</si>
  <si>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</si>
  <si>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</si>
  <si>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</si>
  <si>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</si>
  <si>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</si>
  <si>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</si>
  <si>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</si>
  <si>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</si>
  <si>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</si>
  <si>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</si>
  <si>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</si>
  <si>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</si>
  <si>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</si>
  <si>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</si>
  <si>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</si>
  <si>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</si>
  <si>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</si>
  <si>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</si>
  <si>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</si>
  <si>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</si>
  <si>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</si>
  <si>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</si>
  <si>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</si>
  <si>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</si>
  <si>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</si>
  <si>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</si>
  <si>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</si>
  <si>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</si>
  <si>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</si>
  <si>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</si>
  <si>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</si>
  <si>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</si>
  <si>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</si>
  <si>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</si>
  <si>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</si>
  <si>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</si>
  <si>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</si>
  <si>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</si>
  <si>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</si>
  <si>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</si>
  <si>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</si>
  <si>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</si>
  <si>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</si>
  <si>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</si>
  <si>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</si>
  <si>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</si>
  <si>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</si>
  <si>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</si>
  <si>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</si>
  <si>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</si>
  <si>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</si>
  <si>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</si>
  <si>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</si>
  <si>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</si>
  <si>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</si>
  <si>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</si>
  <si>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</si>
  <si>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</si>
  <si>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</si>
  <si>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</si>
  <si>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</si>
  <si>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</si>
  <si>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</si>
  <si>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</si>
  <si>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</si>
  <si>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</si>
  <si>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</si>
  <si>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</si>
  <si>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</si>
  <si>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</si>
  <si>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</si>
  <si>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</si>
  <si>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</si>
  <si>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</si>
  <si>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</si>
  <si>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</si>
  <si>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</si>
  <si>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</si>
  <si>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</si>
  <si>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</si>
  <si>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</si>
  <si>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</si>
  <si>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</si>
  <si>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</si>
  <si>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</si>
  <si>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</si>
  <si>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</si>
  <si>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</si>
  <si>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</si>
  <si>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</si>
  <si>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</si>
  <si>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</si>
  <si>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</si>
  <si>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</si>
  <si>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</si>
  <si>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</si>
  <si>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</si>
  <si>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</si>
  <si>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</si>
  <si>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</si>
  <si>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</si>
  <si>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</si>
  <si>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</si>
  <si>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</si>
  <si>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</si>
  <si>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</si>
  <si>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</si>
  <si>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</si>
  <si>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</si>
  <si>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</si>
  <si>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</si>
  <si>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</si>
  <si>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</si>
  <si>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</si>
  <si>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</si>
  <si>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</si>
  <si>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</si>
  <si>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</si>
  <si>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</si>
  <si>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</si>
  <si>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</si>
  <si>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</si>
  <si>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</si>
  <si>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</si>
  <si>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</si>
  <si>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</si>
  <si>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</si>
  <si>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</si>
  <si>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</si>
  <si>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</si>
  <si>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</si>
  <si>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</si>
  <si>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</si>
  <si>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</si>
  <si>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</si>
  <si>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</si>
  <si>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</si>
  <si>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</si>
  <si>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</si>
  <si>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</si>
  <si>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</si>
  <si>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</si>
  <si>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</si>
  <si>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</si>
  <si>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</si>
  <si>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</si>
  <si>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</si>
  <si>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</si>
  <si>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</si>
  <si>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</si>
  <si>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</si>
  <si>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</si>
  <si>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</si>
  <si>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</si>
  <si>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</si>
  <si>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</si>
  <si>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</si>
  <si>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</si>
  <si>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</si>
  <si>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</si>
  <si>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</si>
  <si>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</si>
  <si>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</si>
  <si>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</si>
  <si>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</si>
  <si>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</si>
  <si>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</si>
  <si>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</si>
  <si>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</si>
  <si>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</si>
  <si>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</si>
  <si>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</si>
  <si>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</si>
  <si>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</si>
  <si>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</si>
  <si>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</si>
  <si>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</si>
  <si>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</si>
  <si>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</si>
  <si>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</si>
  <si>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</si>
  <si>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</si>
  <si>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</si>
  <si>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</si>
  <si>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</si>
  <si>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</si>
  <si>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</si>
  <si>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</si>
  <si>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</si>
  <si>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</si>
  <si>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</si>
  <si>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</si>
  <si>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</si>
  <si>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</si>
  <si>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</si>
  <si>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</si>
  <si>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</si>
  <si>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</si>
  <si>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</si>
  <si>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</si>
  <si>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</si>
  <si>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</si>
  <si>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</si>
  <si>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</si>
  <si>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</si>
  <si>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</si>
  <si>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</si>
  <si>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</si>
  <si>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</si>
  <si>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</si>
  <si>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</si>
  <si>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</si>
  <si>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</si>
  <si>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</si>
  <si>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</si>
  <si>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</si>
  <si>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</si>
  <si>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</si>
  <si>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</si>
  <si>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</si>
  <si>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</si>
  <si>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</si>
  <si>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</si>
  <si>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</si>
  <si>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</si>
  <si>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</si>
  <si>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</si>
  <si>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</si>
  <si>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</si>
  <si>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</si>
  <si>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</si>
  <si>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</si>
  <si>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</si>
  <si>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</si>
  <si>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</si>
  <si>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</si>
  <si>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</si>
  <si>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</si>
  <si>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</si>
  <si>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</si>
  <si>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</si>
  <si>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</si>
  <si>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</si>
  <si>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</si>
  <si>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</si>
  <si>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</si>
  <si>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</si>
  <si>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</si>
  <si>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</si>
  <si>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</si>
  <si>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</si>
  <si>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</si>
  <si>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</si>
  <si>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</si>
  <si>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</si>
  <si>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</si>
  <si>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</si>
  <si>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</si>
  <si>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</si>
  <si>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</si>
  <si>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</si>
  <si>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</si>
  <si>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</si>
  <si>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</si>
  <si>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</si>
  <si>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</si>
  <si>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</si>
  <si>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</si>
  <si>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</si>
  <si>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</si>
  <si>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</si>
  <si>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</si>
  <si>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</si>
  <si>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</si>
  <si>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</si>
  <si>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</si>
  <si>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</si>
  <si>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</si>
  <si>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</si>
  <si>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</si>
  <si>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</si>
  <si>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</si>
  <si>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</si>
  <si>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</si>
  <si>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</si>
  <si>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</si>
  <si>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</si>
  <si>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</si>
  <si>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</si>
  <si>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</si>
  <si>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</si>
  <si>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</si>
  <si>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</si>
  <si>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</si>
  <si>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</si>
  <si>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</si>
  <si>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</si>
  <si>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</si>
  <si>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</si>
  <si>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</si>
  <si>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</si>
  <si>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</si>
  <si>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</si>
  <si>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</si>
  <si>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</si>
  <si>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</si>
  <si>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</si>
  <si>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</si>
  <si>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</si>
  <si>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</si>
  <si>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</si>
  <si>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</si>
  <si>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</si>
  <si>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</si>
  <si>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</si>
  <si>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</si>
  <si>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</si>
  <si>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</si>
  <si>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</si>
  <si>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</si>
  <si>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</si>
  <si>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</si>
  <si>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</si>
  <si>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</si>
  <si>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</si>
  <si>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</si>
  <si>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</si>
  <si>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</si>
  <si>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</si>
  <si>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</si>
  <si>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</si>
  <si>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</si>
  <si>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</si>
  <si>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</si>
  <si>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</si>
  <si>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</si>
  <si>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</si>
  <si>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</si>
  <si>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</si>
  <si>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</si>
  <si>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</si>
  <si>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</si>
  <si>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</si>
  <si>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</si>
  <si>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</si>
  <si>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</si>
  <si>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</si>
  <si>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</si>
  <si>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</si>
  <si>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</si>
  <si>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</si>
  <si>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</si>
  <si>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</si>
  <si>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</si>
  <si>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</si>
  <si>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</si>
  <si>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</si>
  <si>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</si>
  <si>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</si>
  <si>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</si>
  <si>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</si>
  <si>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</si>
  <si>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</si>
  <si>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</si>
  <si>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</si>
  <si>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</si>
  <si>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</si>
  <si>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</si>
  <si>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</si>
  <si>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</si>
  <si>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</si>
  <si>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</si>
  <si>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</si>
  <si>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</si>
  <si>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</si>
  <si>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</si>
  <si>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</si>
  <si>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</si>
  <si>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</si>
  <si>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</si>
  <si>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</si>
  <si>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</si>
  <si>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</si>
  <si>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</si>
  <si>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</si>
  <si>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</si>
  <si>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</si>
  <si>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</si>
  <si>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</si>
  <si>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</si>
  <si>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</si>
  <si>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</si>
  <si>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</si>
  <si>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</si>
  <si>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</si>
  <si>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</si>
  <si>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</si>
  <si>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</si>
  <si>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</si>
  <si>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</si>
  <si>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</si>
  <si>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</si>
  <si>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</si>
  <si>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</si>
  <si>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</si>
  <si>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</si>
  <si>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</si>
  <si>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</si>
  <si>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</si>
  <si>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</si>
  <si>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</si>
  <si>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</si>
  <si>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</si>
  <si>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</si>
  <si>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</si>
  <si>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</si>
  <si>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</si>
  <si>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</si>
  <si>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</si>
  <si>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</si>
  <si>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</si>
  <si>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</si>
  <si>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</si>
  <si>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</si>
  <si>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</si>
  <si>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</si>
  <si>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</si>
  <si>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</si>
  <si>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</si>
  <si>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</si>
  <si>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</si>
  <si>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</si>
  <si>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</si>
  <si>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</si>
  <si>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</si>
  <si>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</si>
  <si>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</si>
  <si>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</si>
  <si>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</si>
  <si>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</si>
  <si>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</si>
  <si>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</si>
  <si>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</si>
  <si>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</si>
  <si>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</si>
  <si>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</si>
  <si>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</si>
  <si>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</si>
  <si>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</si>
  <si>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</si>
  <si>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</si>
  <si>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</si>
  <si>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</si>
  <si>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</si>
  <si>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</si>
  <si>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</si>
  <si>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</si>
  <si>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</si>
  <si>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</si>
  <si>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</si>
  <si>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</si>
  <si>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</si>
  <si>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</si>
  <si>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</si>
  <si>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</si>
  <si>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</si>
  <si>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</si>
  <si>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</si>
  <si>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</si>
  <si>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</si>
  <si>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</si>
  <si>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</si>
  <si>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</si>
  <si>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</si>
  <si>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</si>
  <si>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</si>
  <si>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</si>
  <si>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</si>
  <si>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</si>
  <si>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</si>
  <si>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</si>
  <si>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</si>
  <si>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</si>
  <si>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</si>
  <si>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</si>
  <si>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</si>
  <si>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</si>
  <si>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</si>
  <si>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</si>
  <si>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</si>
  <si>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</si>
  <si>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</si>
  <si>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</si>
  <si>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</si>
  <si>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</si>
  <si>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</si>
  <si>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</si>
  <si>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</si>
  <si>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</si>
  <si>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</si>
  <si>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</si>
  <si>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</si>
  <si>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</si>
  <si>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</si>
  <si>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</si>
  <si>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</si>
  <si>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</si>
  <si>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</si>
  <si>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</si>
  <si>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</si>
  <si>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</si>
  <si>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</si>
  <si>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</si>
  <si>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</si>
  <si>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</si>
  <si>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</si>
  <si>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</si>
  <si>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</si>
  <si>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</si>
  <si>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</si>
  <si>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</si>
  <si>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</si>
  <si>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</si>
  <si>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</si>
  <si>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</si>
  <si>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</si>
  <si>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</si>
  <si>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</si>
  <si>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</si>
  <si>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</si>
  <si>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</si>
  <si>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</si>
  <si>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</si>
  <si>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</si>
  <si>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</si>
  <si>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</si>
  <si>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</si>
  <si>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</si>
  <si>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</si>
  <si>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</si>
  <si>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</si>
  <si>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</si>
  <si>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</si>
  <si>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</si>
  <si>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</si>
  <si>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</si>
  <si>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</si>
  <si>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</si>
  <si>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</si>
  <si>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</si>
  <si>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</si>
  <si>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</si>
  <si>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</si>
  <si>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</si>
  <si>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</si>
  <si>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</si>
  <si>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</si>
  <si>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</si>
  <si>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</si>
  <si>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</si>
  <si>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</si>
  <si>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</si>
  <si>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</si>
  <si>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</si>
  <si>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</si>
  <si>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</si>
  <si>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</si>
  <si>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</si>
  <si>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</si>
  <si>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</si>
  <si>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</si>
  <si>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</si>
  <si>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</si>
  <si>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</si>
  <si>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</si>
  <si>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</si>
  <si>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</si>
  <si>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</si>
  <si>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</si>
  <si>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</si>
  <si>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</si>
  <si>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</si>
  <si>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</si>
  <si>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</si>
  <si>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</si>
  <si>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</si>
  <si>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</si>
  <si>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</si>
  <si>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</si>
  <si>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</si>
  <si>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</si>
  <si>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</si>
  <si>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</si>
  <si>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</si>
  <si>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</si>
  <si>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</si>
  <si>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</si>
  <si>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</si>
  <si>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</si>
  <si>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</si>
  <si>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</si>
  <si>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</si>
  <si>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</si>
  <si>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</si>
  <si>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</si>
  <si>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</si>
  <si>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</si>
  <si>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</si>
  <si>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</si>
  <si>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</si>
  <si>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</si>
  <si>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</si>
  <si>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</si>
  <si>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</si>
  <si>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</si>
  <si>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</si>
  <si>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</si>
  <si>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</si>
  <si>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</si>
  <si>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</si>
  <si>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</si>
  <si>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</si>
  <si>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</si>
  <si>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</si>
  <si>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</si>
  <si>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</si>
  <si>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</si>
  <si>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</si>
  <si>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</si>
  <si>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</si>
  <si>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</si>
  <si>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</si>
  <si>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</si>
  <si>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</si>
  <si>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</si>
  <si>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</si>
  <si>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</si>
  <si>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</si>
  <si>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</si>
  <si>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</si>
  <si>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</si>
  <si>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</si>
  <si>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</si>
  <si>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</si>
  <si>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</si>
  <si>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</si>
  <si>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</si>
  <si>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</si>
  <si>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</si>
  <si>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</si>
  <si>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</si>
  <si>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</si>
  <si>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</si>
  <si>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</si>
  <si>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</si>
  <si>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</si>
  <si>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</si>
  <si>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</si>
  <si>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</si>
  <si>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</si>
  <si>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</si>
  <si>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</si>
  <si>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</si>
  <si>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</si>
  <si>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</si>
  <si>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</si>
  <si>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</si>
  <si>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</si>
  <si>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</si>
  <si>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</si>
  <si>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</si>
  <si>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</si>
  <si>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</si>
  <si>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</si>
  <si>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</si>
  <si>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</si>
  <si>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</si>
  <si>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</si>
  <si>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</si>
  <si>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</si>
  <si>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</si>
  <si>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</si>
  <si>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</si>
  <si>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</si>
  <si>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</si>
  <si>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</si>
  <si>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</si>
  <si>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</si>
  <si>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</si>
  <si>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</si>
  <si>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</si>
  <si>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</si>
  <si>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</si>
  <si>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</si>
  <si>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</si>
  <si>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</si>
  <si>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</si>
  <si>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</si>
  <si>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</si>
  <si>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</si>
  <si>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</si>
  <si>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</si>
  <si>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</si>
  <si>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</si>
  <si>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</si>
  <si>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</si>
  <si>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</si>
  <si>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</si>
  <si>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</si>
  <si>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</si>
  <si>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</si>
  <si>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</si>
  <si>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</si>
  <si>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</si>
  <si>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</si>
  <si>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</si>
  <si>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</si>
  <si>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</si>
  <si>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</si>
  <si>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</si>
  <si>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</si>
  <si>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</si>
  <si>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</si>
  <si>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</si>
  <si>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</si>
  <si>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</si>
  <si>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</si>
  <si>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</si>
  <si>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</si>
  <si>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</si>
  <si>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</si>
  <si>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</si>
  <si>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</si>
  <si>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</si>
  <si>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</si>
  <si>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</si>
  <si>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</si>
  <si>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</si>
  <si>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</si>
  <si>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</si>
  <si>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</si>
  <si>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</si>
  <si>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</si>
  <si>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</si>
  <si>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</si>
  <si>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</si>
  <si>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</si>
  <si>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</si>
  <si>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</si>
  <si>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</si>
  <si>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</si>
  <si>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</si>
  <si>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</si>
  <si>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</si>
  <si>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</si>
  <si>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</si>
  <si>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</si>
  <si>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</si>
  <si>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</si>
  <si>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</si>
  <si>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</si>
  <si>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</si>
  <si>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</si>
  <si>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</si>
  <si>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</si>
  <si>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</si>
  <si>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</si>
  <si>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</si>
  <si>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</si>
  <si>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</si>
  <si>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</si>
  <si>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</si>
  <si>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</si>
  <si>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</si>
  <si>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</si>
  <si>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</si>
  <si>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</si>
  <si>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</si>
  <si>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</si>
  <si>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</si>
  <si>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</si>
  <si>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</si>
  <si>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</si>
  <si>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</si>
  <si>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</si>
  <si>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</si>
  <si>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</si>
  <si>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</si>
  <si>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</si>
  <si>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</si>
  <si>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</si>
  <si>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</si>
  <si>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</si>
  <si>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</si>
  <si>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</si>
  <si>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</si>
  <si>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</si>
  <si>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</si>
  <si>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</si>
  <si>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</si>
  <si>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</si>
  <si>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</si>
  <si>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</si>
  <si>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</si>
  <si>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</si>
  <si>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</si>
  <si>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</si>
  <si>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</si>
  <si>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</si>
  <si>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</si>
  <si>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</si>
  <si>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</si>
  <si>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</si>
  <si>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</si>
  <si>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</si>
  <si>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</si>
  <si>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</si>
  <si>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</si>
  <si>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</si>
  <si>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</si>
  <si>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</si>
  <si>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</si>
  <si>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</si>
  <si>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</si>
  <si>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</si>
  <si>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</si>
  <si>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</si>
  <si>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</si>
  <si>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</si>
  <si>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</si>
  <si>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</si>
  <si>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</si>
  <si>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</si>
  <si>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</si>
  <si>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</si>
  <si>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</si>
  <si>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</si>
  <si>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</si>
  <si>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</si>
  <si>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</si>
  <si>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</si>
  <si>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</si>
  <si>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</si>
  <si>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</si>
  <si>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</si>
  <si>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</si>
  <si>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</si>
  <si>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</si>
  <si>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</si>
  <si>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</si>
  <si>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</si>
  <si>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</si>
  <si>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</si>
  <si>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</si>
  <si>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</si>
  <si>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</si>
  <si>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</si>
  <si>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</si>
  <si>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</si>
  <si>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</si>
  <si>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</si>
  <si>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</si>
  <si>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</si>
  <si>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</si>
  <si>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</si>
  <si>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</si>
  <si>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</si>
  <si>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</si>
  <si>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</si>
  <si>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</si>
  <si>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</si>
  <si>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</si>
  <si>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</si>
  <si>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</si>
  <si>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</si>
  <si>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</si>
  <si>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</si>
  <si>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</si>
  <si>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</si>
  <si>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</si>
  <si>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</si>
  <si>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</si>
  <si>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</si>
  <si>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</si>
  <si>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</si>
  <si>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</si>
  <si>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</si>
  <si>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</si>
  <si>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</si>
  <si>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</si>
  <si>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</si>
  <si>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</si>
  <si>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</si>
  <si>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</si>
  <si>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</si>
  <si>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</si>
  <si>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</si>
  <si>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</si>
  <si>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</si>
  <si>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</si>
  <si>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</si>
  <si>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</si>
  <si>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</si>
  <si>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</si>
  <si>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</si>
  <si>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</si>
  <si>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</si>
  <si>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</si>
  <si>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</si>
  <si>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</si>
  <si>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</si>
  <si>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</si>
  <si>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</si>
  <si>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</si>
  <si>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</si>
  <si>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</si>
  <si>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</si>
  <si>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</si>
  <si>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</si>
  <si>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</si>
  <si>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</si>
  <si>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</si>
  <si>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</si>
  <si>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</si>
  <si>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</si>
  <si>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</si>
  <si>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</si>
  <si>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</si>
  <si>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</si>
  <si>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</si>
  <si>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</si>
  <si>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</si>
  <si>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</si>
  <si>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</si>
  <si>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</si>
  <si>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</si>
  <si>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</si>
  <si>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</si>
  <si>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</si>
  <si>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</si>
  <si>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</si>
  <si>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</si>
  <si>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</si>
  <si>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</si>
  <si>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</si>
  <si>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</si>
  <si>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</si>
  <si>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</si>
  <si>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</si>
  <si>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</si>
  <si>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</si>
  <si>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</si>
  <si>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</si>
  <si>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</si>
  <si>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</si>
  <si>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</si>
  <si>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</si>
  <si>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</si>
  <si>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</si>
  <si>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</si>
  <si>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</si>
  <si>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</si>
  <si>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</si>
  <si>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</si>
  <si>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</si>
  <si>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</si>
  <si>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</si>
  <si>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</si>
  <si>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</si>
  <si>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</si>
  <si>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</si>
  <si>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</si>
  <si>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</si>
  <si>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</si>
  <si>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</si>
  <si>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</si>
  <si>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</si>
  <si>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</si>
  <si>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</si>
  <si>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</si>
  <si>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</si>
  <si>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</si>
  <si>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</si>
  <si>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</si>
  <si>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</si>
  <si>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</si>
  <si>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</si>
  <si>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</si>
  <si>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</si>
  <si>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</si>
  <si>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</si>
  <si>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</si>
  <si>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</si>
  <si>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</si>
  <si>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</si>
  <si>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</si>
  <si>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</si>
  <si>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</si>
  <si>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</si>
  <si>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</si>
  <si>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</si>
  <si>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</si>
  <si>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</si>
  <si>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</si>
  <si>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</si>
  <si>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</si>
  <si>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</si>
  <si>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</si>
  <si>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</si>
  <si>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</si>
  <si>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</si>
  <si>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</si>
  <si>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</si>
  <si>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</si>
  <si>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</si>
  <si>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</si>
  <si>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</si>
  <si>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</si>
  <si>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</si>
  <si>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</si>
  <si>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</si>
  <si>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</si>
  <si>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</si>
  <si>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</si>
  <si>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</si>
  <si>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</si>
  <si>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</si>
  <si>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</si>
  <si>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</si>
  <si>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</si>
  <si>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</si>
  <si>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</si>
  <si>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</si>
  <si>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</si>
  <si>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</si>
  <si>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</si>
  <si>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</si>
  <si>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</si>
  <si>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</si>
  <si>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</si>
  <si>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</si>
  <si>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</si>
  <si>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</si>
  <si>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</si>
  <si>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</si>
  <si>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</si>
  <si>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</si>
  <si>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</si>
  <si>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</si>
  <si>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</si>
  <si>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</si>
  <si>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</si>
  <si>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</si>
  <si>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</si>
  <si>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</si>
  <si>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</si>
  <si>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</si>
  <si>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</si>
  <si>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</si>
  <si>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</si>
  <si>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</si>
  <si>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</si>
  <si>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</si>
  <si>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</si>
  <si>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</si>
  <si>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</si>
  <si>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</si>
  <si>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</si>
  <si>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</si>
  <si>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</si>
  <si>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</si>
  <si>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</si>
  <si>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</si>
  <si>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</si>
  <si>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</si>
  <si>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</si>
  <si>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</si>
  <si>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</si>
  <si>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</si>
  <si>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</si>
  <si>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</si>
  <si>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</si>
  <si>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</si>
  <si>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</si>
  <si>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</si>
  <si>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</si>
  <si>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</si>
  <si>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</si>
  <si>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</si>
  <si>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</si>
  <si>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</si>
  <si>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</si>
  <si>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</si>
  <si>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</si>
  <si>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</si>
  <si>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</si>
  <si>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</si>
  <si>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</si>
  <si>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</si>
  <si>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</si>
  <si>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</si>
  <si>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</si>
  <si>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</si>
  <si>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</si>
  <si>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</si>
  <si>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</si>
  <si>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</si>
  <si>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</si>
  <si>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</si>
  <si>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</si>
  <si>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</si>
  <si>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</si>
  <si>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</si>
  <si>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</si>
  <si>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</si>
  <si>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</si>
  <si>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</si>
  <si>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</si>
  <si>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</si>
  <si>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</si>
  <si>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</si>
  <si>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</si>
  <si>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</si>
  <si>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</si>
  <si>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</si>
  <si>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</si>
  <si>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</si>
  <si>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</si>
  <si>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</si>
  <si>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</si>
  <si>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</si>
  <si>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</si>
  <si>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</si>
  <si>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</si>
  <si>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</si>
  <si>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</si>
  <si>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</si>
  <si>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</si>
  <si>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</si>
  <si>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</si>
  <si>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</si>
  <si>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</si>
  <si>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</si>
  <si>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</si>
  <si>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</si>
  <si>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</si>
  <si>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</si>
  <si>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</si>
  <si>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</si>
  <si>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</si>
  <si>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</si>
  <si>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</si>
  <si>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</si>
  <si>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</si>
  <si>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</si>
  <si>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</si>
  <si>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</si>
  <si>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</si>
  <si>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</si>
  <si>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</si>
  <si>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</si>
  <si>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</si>
  <si>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</si>
  <si>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</si>
  <si>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</si>
  <si>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</si>
  <si>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</si>
  <si>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</si>
  <si>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</si>
  <si>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</si>
  <si>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</si>
  <si>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</si>
  <si>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</si>
  <si>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</si>
  <si>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</si>
  <si>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</si>
  <si>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</si>
  <si>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</si>
  <si>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</si>
  <si>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</si>
  <si>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</si>
  <si>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</si>
  <si>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</si>
  <si>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</si>
  <si>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</si>
  <si>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</si>
  <si>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</si>
  <si>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</si>
  <si>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</si>
  <si>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</si>
  <si>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</si>
  <si>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</si>
  <si>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</si>
  <si>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</si>
  <si>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</si>
  <si>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</si>
  <si>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</si>
  <si>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</si>
  <si>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</si>
  <si>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</si>
  <si>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</si>
  <si>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</si>
  <si>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</si>
  <si>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</si>
  <si>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</si>
  <si>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</si>
  <si>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</si>
  <si>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</si>
  <si>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</si>
  <si>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</si>
  <si>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</si>
  <si>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</si>
  <si>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</si>
  <si>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</si>
  <si>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</si>
  <si>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</si>
  <si>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</si>
  <si>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</si>
  <si>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</si>
  <si>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</si>
  <si>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</si>
  <si>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</si>
  <si>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</si>
  <si>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</si>
  <si>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</si>
  <si>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</si>
  <si>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</si>
  <si>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</si>
  <si>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</si>
  <si>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</si>
  <si>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</si>
  <si>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</si>
  <si>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</si>
  <si>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</si>
  <si>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</si>
  <si>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</si>
  <si>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</si>
  <si>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</si>
  <si>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</si>
  <si>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</si>
  <si>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</si>
  <si>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</si>
  <si>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</si>
  <si>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</si>
  <si>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</si>
  <si>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</si>
  <si>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</si>
  <si>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</si>
  <si>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</si>
  <si>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</si>
  <si>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</si>
  <si>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</si>
  <si>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</si>
  <si>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</si>
  <si>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</si>
  <si>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</si>
  <si>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</si>
  <si>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</si>
  <si>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</si>
  <si>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</si>
  <si>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</si>
  <si>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</si>
  <si>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</si>
  <si>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</si>
  <si>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</si>
  <si>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</si>
  <si>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</si>
  <si>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</si>
  <si>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</si>
  <si>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</si>
  <si>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</si>
  <si>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</si>
  <si>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</si>
  <si>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</si>
  <si>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</si>
  <si>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</si>
  <si>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</si>
  <si>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</si>
  <si>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</si>
  <si>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</si>
  <si>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</si>
  <si>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</si>
  <si>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</si>
  <si>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</si>
  <si>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</si>
  <si>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</si>
  <si>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</si>
  <si>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</si>
  <si>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</si>
  <si>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</si>
  <si>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</si>
  <si>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</si>
  <si>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</si>
  <si>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</si>
  <si>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</si>
  <si>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</si>
  <si>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</si>
  <si>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</si>
  <si>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</si>
  <si>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</si>
  <si>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</si>
  <si>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</si>
  <si>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</si>
  <si>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</si>
  <si>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</si>
  <si>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</si>
  <si>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</si>
  <si>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</si>
  <si>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</si>
  <si>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</si>
  <si>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</si>
  <si>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</si>
  <si>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</si>
  <si>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</si>
  <si>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</si>
  <si>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</si>
  <si>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</si>
  <si>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</si>
  <si>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</si>
  <si>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</si>
  <si>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</si>
  <si>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</si>
  <si>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</si>
  <si>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</si>
  <si>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</si>
  <si>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</si>
  <si>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</si>
  <si>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</si>
  <si>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</si>
  <si>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</si>
  <si>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</si>
  <si>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</si>
  <si>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</si>
  <si>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</si>
  <si>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</si>
  <si>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</si>
  <si>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</si>
  <si>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</si>
  <si>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</si>
  <si>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</si>
  <si>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</si>
  <si>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</si>
  <si>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</si>
  <si>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</si>
  <si>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</si>
  <si>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</si>
  <si>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</si>
  <si>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</si>
  <si>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</si>
  <si>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</si>
  <si>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</si>
  <si>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</si>
  <si>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</si>
  <si>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</si>
  <si>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</si>
  <si>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</si>
  <si>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</si>
  <si>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</si>
  <si>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</si>
  <si>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</si>
  <si>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</si>
  <si>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</si>
  <si>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</si>
  <si>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</si>
  <si>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</si>
  <si>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</si>
  <si>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</si>
  <si>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</si>
  <si>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</si>
  <si>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</si>
  <si>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</si>
  <si>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</si>
  <si>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</si>
  <si>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</si>
  <si>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</si>
  <si>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</si>
  <si>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</si>
  <si>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</si>
  <si>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</si>
  <si>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</si>
  <si>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</si>
  <si>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</si>
  <si>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</si>
  <si>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</si>
  <si>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</si>
  <si>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</si>
  <si>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</si>
  <si>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</si>
  <si>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</si>
  <si>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</si>
  <si>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</si>
  <si>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</si>
  <si>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</si>
  <si>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</si>
  <si>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</si>
  <si>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</si>
  <si>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</si>
  <si>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</si>
  <si>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</si>
  <si>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</si>
  <si>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</si>
  <si>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</si>
  <si>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</si>
  <si>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</si>
  <si>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</si>
  <si>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</si>
  <si>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</si>
  <si>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</si>
  <si>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</si>
  <si>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</si>
  <si>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</si>
  <si>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</si>
  <si>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</si>
  <si>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</si>
  <si>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</si>
  <si>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</si>
  <si>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</si>
  <si>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</si>
  <si>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</si>
  <si>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</si>
  <si>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</si>
  <si>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</si>
  <si>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</si>
  <si>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</si>
  <si>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</si>
  <si>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</si>
  <si>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</si>
  <si>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</si>
  <si>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</si>
  <si>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</si>
  <si>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</si>
  <si>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</si>
  <si>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</si>
  <si>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</si>
  <si>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</si>
  <si>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</si>
  <si>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</si>
  <si>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</si>
  <si>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</si>
  <si>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</si>
  <si>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</si>
  <si>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</si>
  <si>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</si>
  <si>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</si>
  <si>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</si>
  <si>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</si>
  <si>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</si>
  <si>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</si>
  <si>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</si>
  <si>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</si>
  <si>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</si>
  <si>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</si>
  <si>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</si>
  <si>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</si>
  <si>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</si>
  <si>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</si>
  <si>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</si>
  <si>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</si>
  <si>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</si>
  <si>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</si>
  <si>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</si>
  <si>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</si>
  <si>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</si>
  <si>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</si>
  <si>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</si>
  <si>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</si>
  <si>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</si>
  <si>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</si>
  <si>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</si>
  <si>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</si>
  <si>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</si>
  <si>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</si>
  <si>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</si>
  <si>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</si>
  <si>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</si>
  <si>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</si>
  <si>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</si>
  <si>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</si>
  <si>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</si>
  <si>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</si>
  <si>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</si>
  <si>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</si>
  <si>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</si>
  <si>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</si>
  <si>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</si>
  <si>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</si>
  <si>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</si>
  <si>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</si>
  <si>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</si>
  <si>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</si>
  <si>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</si>
  <si>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</si>
  <si>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</si>
  <si>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</si>
  <si>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</si>
  <si>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</si>
  <si>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</si>
  <si>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</si>
  <si>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</si>
  <si>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</si>
  <si>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</si>
  <si>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</si>
  <si>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</si>
  <si>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</si>
  <si>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</si>
  <si>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</si>
  <si>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</si>
  <si>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</si>
  <si>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</si>
  <si>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</si>
  <si>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</si>
  <si>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</si>
  <si>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</si>
  <si>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</si>
  <si>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</si>
  <si>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</si>
  <si>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</si>
  <si>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</si>
  <si>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</si>
  <si>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</si>
  <si>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</si>
  <si>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</si>
  <si>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</si>
  <si>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</si>
  <si>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</si>
  <si>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</si>
  <si>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</si>
  <si>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</si>
  <si>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</si>
  <si>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</si>
  <si>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</si>
  <si>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</si>
  <si>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</si>
  <si>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</si>
  <si>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</si>
  <si>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</si>
  <si>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</si>
  <si>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</si>
  <si>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</si>
  <si>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</si>
  <si>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</si>
  <si>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</si>
  <si>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</si>
  <si>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</si>
  <si>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</si>
  <si>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</si>
  <si>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</si>
  <si>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</si>
  <si>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</si>
  <si>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</si>
  <si>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</si>
  <si>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</si>
  <si>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</si>
  <si>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</si>
  <si>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</si>
  <si>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</si>
  <si>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</si>
  <si>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</si>
  <si>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</si>
  <si>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</si>
  <si>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</si>
  <si>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</si>
  <si>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</si>
  <si>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</si>
  <si>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</si>
  <si>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</si>
  <si>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</si>
  <si>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</si>
  <si>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</si>
  <si>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</si>
  <si>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</si>
  <si>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</si>
  <si>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</si>
  <si>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</si>
  <si>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</si>
  <si>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</si>
  <si>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</si>
  <si>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</si>
  <si>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</si>
  <si>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</si>
  <si>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</si>
  <si>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</si>
  <si>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</si>
  <si>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</si>
  <si>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</si>
  <si>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</si>
  <si>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</si>
  <si>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</si>
  <si>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</si>
  <si>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</si>
  <si>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</si>
  <si>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</si>
  <si>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</si>
  <si>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</si>
  <si>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</si>
  <si>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</si>
  <si>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</si>
  <si>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</si>
  <si>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</si>
  <si>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</si>
  <si>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</si>
  <si>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</si>
  <si>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</si>
  <si>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</si>
  <si>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</si>
  <si>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</si>
  <si>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</si>
  <si>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</si>
  <si>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</si>
  <si>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</si>
  <si>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</si>
  <si>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</si>
  <si>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</si>
  <si>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</si>
  <si>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</si>
  <si>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</si>
  <si>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</si>
  <si>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</si>
  <si>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</si>
  <si>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</si>
  <si>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</si>
  <si>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</si>
  <si>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</si>
  <si>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</si>
  <si>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</si>
  <si>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</si>
  <si>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</si>
  <si>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</si>
  <si>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</si>
  <si>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</si>
  <si>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</si>
  <si>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</si>
  <si>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</si>
  <si>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</si>
  <si>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</si>
  <si>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</si>
  <si>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</si>
  <si>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</si>
  <si>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</si>
  <si>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</si>
  <si>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</si>
  <si>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</si>
  <si>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</si>
  <si>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</si>
  <si>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</si>
  <si>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</si>
  <si>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</si>
  <si>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</si>
  <si>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</si>
  <si>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</si>
  <si>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</si>
  <si>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</si>
  <si>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</si>
  <si>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</si>
  <si>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</si>
  <si>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</si>
  <si>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</si>
  <si>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</si>
  <si>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</si>
  <si>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</si>
  <si>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</si>
  <si>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</si>
  <si>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</si>
  <si>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</si>
  <si>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</si>
  <si>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</si>
  <si>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</si>
  <si>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</si>
  <si>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</si>
  <si>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</si>
  <si>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</si>
  <si>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</si>
  <si>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</si>
  <si>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</si>
  <si>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</si>
  <si>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</si>
  <si>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</si>
  <si>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</si>
  <si>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</si>
  <si>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</si>
  <si>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</si>
  <si>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</si>
  <si>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</si>
  <si>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</si>
  <si>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</si>
  <si>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</si>
  <si>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</si>
  <si>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</si>
  <si>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</si>
  <si>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</si>
  <si>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</si>
  <si>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</si>
  <si>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</si>
  <si>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</si>
  <si>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</si>
  <si>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</si>
  <si>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</si>
  <si>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</si>
  <si>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</si>
  <si>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</si>
  <si>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</si>
  <si>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</si>
  <si>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</si>
  <si>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</si>
  <si>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</si>
  <si>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</si>
  <si>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</si>
  <si>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</si>
  <si>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</si>
  <si>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</si>
  <si>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</si>
  <si>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</si>
  <si>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</si>
  <si>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</si>
  <si>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</si>
  <si>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</si>
  <si>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</si>
  <si>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</si>
  <si>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</si>
  <si>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</si>
  <si>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</si>
  <si>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</si>
  <si>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</si>
  <si>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</si>
  <si>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</si>
  <si>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</si>
  <si>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</si>
  <si>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</si>
  <si>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</si>
  <si>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</si>
  <si>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</si>
  <si>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</si>
  <si>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</si>
  <si>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</si>
  <si>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</si>
  <si>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</si>
  <si>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</si>
  <si>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</si>
  <si>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</si>
  <si>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</si>
  <si>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</si>
  <si>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</si>
  <si>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</si>
  <si>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</si>
  <si>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</si>
  <si>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</si>
  <si>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</si>
  <si>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</si>
  <si>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</si>
  <si>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</si>
  <si>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</si>
  <si>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</si>
  <si>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</si>
  <si>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</si>
  <si>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</si>
  <si>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</si>
  <si>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</si>
  <si>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</si>
  <si>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</si>
  <si>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</si>
  <si>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</si>
  <si>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</si>
  <si>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</si>
  <si>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</si>
  <si>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</si>
  <si>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</si>
  <si>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</si>
  <si>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</si>
  <si>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</si>
  <si>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</si>
  <si>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</si>
  <si>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</si>
  <si>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</si>
  <si>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</si>
  <si>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</si>
  <si>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</si>
  <si>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</si>
  <si>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</si>
  <si>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</si>
  <si>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</si>
  <si>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</si>
  <si>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</si>
  <si>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</si>
  <si>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</si>
  <si>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</si>
  <si>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</si>
  <si>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</si>
  <si>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</si>
  <si>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</si>
  <si>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</si>
  <si>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</si>
  <si>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</si>
  <si>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</si>
  <si>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</si>
  <si>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</si>
  <si>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</si>
  <si>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</si>
  <si>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</si>
  <si>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</si>
  <si>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</si>
  <si>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</si>
  <si>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</si>
  <si>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</si>
  <si>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</si>
  <si>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</si>
  <si>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</si>
  <si>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</si>
  <si>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</si>
  <si>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</si>
  <si>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</si>
  <si>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</si>
  <si>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</si>
  <si>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</si>
  <si>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</si>
  <si>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</si>
  <si>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</si>
  <si>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</si>
  <si>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</si>
  <si>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</si>
  <si>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</si>
  <si>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</si>
  <si>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</si>
  <si>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</si>
  <si>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</si>
  <si>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</si>
  <si>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</si>
  <si>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</si>
  <si>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</si>
  <si>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</si>
  <si>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</si>
  <si>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</si>
  <si>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</si>
  <si>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</si>
  <si>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</si>
  <si>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</si>
  <si>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</si>
  <si>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</si>
  <si>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</si>
  <si>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</si>
  <si>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</si>
  <si>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</si>
  <si>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</si>
  <si>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</si>
  <si>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</si>
  <si>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</si>
  <si>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</si>
  <si>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</si>
  <si>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</si>
  <si>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</si>
  <si>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</si>
  <si>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</si>
  <si>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</si>
  <si>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</si>
  <si>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</si>
  <si>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</si>
  <si>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</si>
  <si>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</si>
  <si>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</si>
  <si>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</si>
  <si>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</si>
  <si>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</si>
  <si>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</si>
  <si>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</si>
  <si>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</si>
  <si>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</si>
  <si>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</si>
  <si>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</si>
  <si>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</si>
  <si>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</si>
  <si>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</si>
  <si>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</si>
  <si>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</si>
  <si>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</si>
  <si>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</si>
  <si>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</si>
  <si>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</si>
  <si>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</si>
  <si>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</si>
  <si>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</si>
  <si>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</si>
  <si>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</si>
  <si>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</si>
  <si>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</si>
  <si>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</si>
  <si>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</si>
  <si>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</si>
  <si>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</si>
  <si>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</si>
  <si>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</si>
  <si>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</si>
  <si>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</si>
  <si>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</si>
  <si>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</si>
  <si>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</si>
  <si>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</si>
  <si>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</si>
  <si>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</si>
  <si>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</si>
  <si>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</si>
  <si>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</si>
  <si>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</si>
  <si>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</si>
  <si>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</si>
  <si>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</si>
  <si>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</si>
  <si>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</si>
  <si>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</si>
  <si>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</si>
  <si>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</si>
  <si>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</si>
  <si>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</si>
  <si>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</si>
  <si>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</si>
  <si>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</si>
  <si>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</si>
  <si>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</si>
  <si>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</si>
  <si>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</si>
  <si>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</si>
  <si>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</si>
  <si>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</si>
  <si>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</si>
  <si>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</si>
  <si>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</si>
  <si>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</si>
  <si>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</si>
  <si>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</si>
  <si>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</si>
  <si>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</si>
  <si>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</si>
  <si>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</si>
  <si>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</si>
  <si>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</si>
  <si>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</si>
  <si>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</si>
  <si>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</si>
  <si>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</si>
  <si>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</si>
  <si>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</si>
  <si>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</si>
  <si>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</si>
  <si>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</si>
  <si>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</si>
  <si>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</si>
  <si>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</si>
  <si>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</si>
  <si>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</si>
  <si>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</si>
  <si>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</si>
  <si>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</si>
  <si>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</si>
  <si>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</si>
  <si>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</si>
  <si>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</si>
  <si>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</si>
  <si>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</si>
  <si>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</si>
  <si>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</si>
  <si>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</si>
  <si>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</si>
  <si>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</si>
  <si>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</si>
  <si>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</si>
  <si>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</si>
  <si>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</si>
  <si>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</si>
  <si>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</si>
  <si>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</si>
  <si>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</si>
  <si>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</si>
  <si>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</si>
  <si>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</si>
  <si>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</si>
  <si>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</si>
  <si>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</si>
  <si>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</si>
  <si>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</si>
  <si>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</si>
  <si>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</si>
  <si>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</si>
  <si>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</si>
  <si>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</si>
  <si>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</si>
  <si>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</si>
  <si>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</si>
  <si>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</si>
  <si>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</si>
  <si>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</si>
  <si>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</si>
  <si>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</si>
  <si>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</si>
  <si>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</si>
  <si>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</si>
  <si>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</si>
  <si>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</si>
  <si>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</si>
  <si>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</si>
  <si>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</si>
  <si>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</si>
  <si>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</si>
  <si>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</si>
  <si>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</si>
  <si>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</si>
  <si>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</si>
  <si>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</si>
  <si>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</si>
  <si>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</si>
  <si>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</si>
  <si>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</si>
  <si>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</si>
  <si>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</si>
  <si>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</si>
  <si>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</si>
  <si>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</si>
  <si>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</si>
  <si>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</si>
  <si>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</si>
  <si>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</si>
  <si>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</si>
  <si>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</si>
  <si>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</si>
  <si>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</si>
  <si>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</si>
  <si>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</si>
  <si>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</si>
  <si>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</si>
  <si>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</si>
  <si>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</si>
  <si>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</si>
  <si>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</si>
  <si>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</si>
  <si>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</si>
  <si>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</si>
  <si>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</si>
  <si>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</si>
  <si>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</si>
  <si>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</si>
  <si>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</si>
  <si>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</si>
  <si>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</si>
  <si>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</si>
  <si>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</si>
  <si>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</si>
  <si>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</si>
  <si>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</si>
  <si>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</si>
  <si>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</si>
  <si>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</si>
  <si>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</si>
  <si>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</si>
  <si>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</si>
  <si>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</si>
  <si>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</si>
  <si>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</si>
  <si>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</si>
  <si>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</si>
  <si>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</si>
  <si>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</si>
  <si>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</si>
  <si>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</si>
  <si>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</si>
  <si>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</si>
  <si>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</si>
  <si>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</si>
  <si>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</si>
  <si>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</si>
  <si>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</si>
  <si>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</si>
  <si>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</si>
  <si>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</si>
  <si>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</si>
  <si>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</si>
  <si>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</si>
  <si>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</si>
  <si>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</si>
  <si>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</si>
  <si>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</si>
  <si>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</si>
  <si>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</si>
  <si>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</si>
  <si>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</si>
  <si>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</si>
  <si>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</si>
  <si>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</si>
  <si>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</si>
  <si>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</si>
  <si>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</si>
  <si>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</si>
  <si>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</si>
  <si>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</si>
  <si>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</si>
  <si>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</si>
  <si>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</si>
  <si>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</si>
  <si>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</si>
  <si>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</si>
  <si>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</si>
  <si>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</si>
  <si>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</si>
  <si>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</si>
  <si>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</si>
  <si>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</si>
  <si>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</si>
  <si>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</si>
  <si>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</si>
  <si>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</si>
  <si>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</si>
  <si>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</si>
  <si>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</si>
  <si>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</si>
  <si>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</si>
  <si>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</si>
  <si>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</si>
  <si>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</si>
  <si>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</si>
  <si>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</si>
  <si>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</si>
  <si>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</si>
  <si>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</si>
  <si>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</si>
  <si>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</si>
  <si>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</si>
  <si>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</si>
  <si>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</si>
  <si>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</si>
  <si>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</si>
  <si>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</si>
  <si>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</si>
  <si>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</si>
  <si>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</si>
  <si>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</si>
  <si>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</si>
  <si>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</si>
  <si>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</si>
  <si>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</si>
  <si>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</si>
  <si>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</si>
  <si>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</si>
  <si>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</si>
  <si>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</si>
  <si>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</si>
  <si>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</si>
  <si>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</si>
  <si>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</si>
  <si>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</si>
  <si>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</si>
  <si>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</si>
  <si>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</si>
  <si>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</si>
  <si>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</si>
  <si>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</si>
  <si>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</si>
  <si>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</si>
  <si>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</si>
  <si>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</si>
  <si>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</si>
  <si>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</si>
  <si>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</si>
  <si>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</si>
  <si>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</si>
  <si>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</si>
  <si>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</si>
  <si>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</si>
  <si>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</si>
  <si>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</si>
  <si>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</si>
  <si>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</si>
  <si>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</si>
  <si>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</si>
  <si>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</si>
  <si>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</si>
  <si>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</si>
  <si>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</si>
  <si>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</si>
  <si>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</si>
  <si>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</si>
  <si>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</si>
  <si>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</si>
  <si>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</si>
  <si>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</si>
  <si>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</si>
  <si>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</si>
  <si>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</si>
  <si>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</si>
  <si>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</si>
  <si>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</si>
  <si>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</si>
  <si>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</si>
  <si>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</si>
  <si>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</si>
  <si>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</si>
  <si>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</si>
  <si>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</si>
  <si>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</si>
  <si>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</si>
  <si>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</si>
  <si>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</si>
  <si>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</si>
  <si>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</si>
  <si>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</si>
  <si>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</si>
  <si>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</si>
  <si>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</si>
  <si>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</si>
  <si>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</si>
  <si>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</si>
  <si>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</si>
  <si>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</si>
  <si>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</si>
  <si>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</si>
  <si>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</si>
  <si>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</si>
  <si>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</si>
  <si>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</si>
  <si>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</si>
  <si>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</si>
  <si>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</si>
  <si>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</si>
  <si>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</si>
  <si>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</si>
  <si>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</si>
  <si>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</si>
  <si>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</si>
  <si>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</si>
  <si>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</si>
  <si>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</si>
  <si>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</si>
  <si>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</si>
  <si>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</si>
  <si>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</si>
  <si>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</si>
  <si>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</si>
  <si>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</si>
  <si>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</si>
  <si>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</si>
  <si>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</si>
  <si>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</si>
  <si>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</si>
  <si>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</si>
  <si>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</si>
  <si>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</si>
  <si>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</si>
  <si>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</si>
  <si>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</si>
  <si>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</si>
  <si>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</si>
  <si>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</si>
  <si>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</si>
  <si>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</si>
  <si>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</si>
  <si>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</si>
  <si>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</si>
  <si>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</si>
  <si>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</si>
  <si>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</si>
  <si>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</si>
  <si>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</si>
  <si>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</si>
  <si>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</si>
  <si>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</si>
  <si>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</si>
  <si>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</si>
  <si>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</si>
  <si>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</si>
  <si>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</si>
  <si>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</si>
  <si>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</si>
  <si>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</si>
  <si>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</si>
  <si>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</si>
  <si>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</si>
  <si>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</si>
  <si>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</si>
  <si>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</si>
  <si>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</si>
  <si>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</si>
  <si>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</si>
  <si>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</si>
  <si>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</si>
  <si>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</si>
  <si>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</si>
  <si>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</si>
  <si>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</si>
  <si>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</si>
  <si>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</si>
  <si>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</si>
  <si>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</si>
  <si>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</si>
  <si>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</si>
  <si>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</si>
  <si>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</si>
  <si>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</si>
  <si>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</si>
  <si>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</si>
  <si>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</si>
  <si>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</si>
  <si>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</si>
  <si>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</si>
  <si>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</si>
  <si>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</si>
  <si>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</si>
  <si>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</si>
  <si>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</si>
  <si>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</si>
  <si>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</si>
  <si>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</si>
  <si>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</si>
  <si>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</si>
  <si>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</si>
  <si>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</si>
  <si>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</si>
  <si>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</si>
  <si>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</si>
  <si>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</si>
  <si>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</si>
  <si>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</si>
  <si>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</si>
  <si>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</si>
  <si>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</si>
  <si>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</si>
  <si>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</si>
  <si>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</si>
  <si>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</si>
  <si>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</si>
  <si>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</si>
  <si>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</si>
  <si>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</si>
  <si>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</si>
  <si>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</si>
  <si>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</si>
  <si>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</si>
  <si>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</si>
  <si>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</si>
  <si>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</si>
  <si>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</si>
  <si>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</si>
  <si>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</si>
  <si>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</si>
  <si>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</si>
  <si>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</si>
  <si>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</si>
  <si>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</si>
  <si>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</si>
  <si>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</si>
  <si>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</si>
  <si>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</si>
  <si>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</si>
  <si>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</si>
  <si>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</si>
  <si>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</si>
  <si>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</si>
  <si>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</si>
  <si>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</si>
  <si>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</si>
  <si>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</si>
  <si>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</si>
  <si>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</si>
  <si>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</si>
  <si>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</si>
  <si>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</si>
  <si>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</si>
  <si>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</si>
  <si>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</si>
  <si>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</si>
  <si>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</si>
  <si>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</si>
  <si>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</si>
  <si>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</si>
  <si>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</si>
  <si>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</si>
  <si>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</si>
  <si>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</si>
  <si>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</si>
  <si>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</si>
  <si>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</si>
  <si>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</si>
  <si>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</si>
  <si>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</si>
  <si>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</si>
  <si>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</si>
  <si>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</si>
  <si>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</si>
  <si>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</si>
  <si>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</si>
  <si>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</si>
  <si>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</si>
  <si>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</si>
  <si>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</si>
  <si>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</si>
  <si>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</si>
  <si>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</si>
  <si>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</si>
  <si>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</si>
  <si>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</si>
  <si>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</si>
  <si>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</si>
  <si>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</si>
  <si>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</si>
  <si>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</si>
  <si>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</si>
  <si>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</si>
  <si>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</si>
  <si>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</si>
  <si>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</si>
  <si>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</si>
  <si>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</si>
  <si>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</si>
  <si>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</si>
  <si>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</si>
  <si>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</si>
  <si>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</si>
  <si>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</si>
  <si>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</si>
  <si>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</si>
  <si>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</si>
  <si>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</si>
  <si>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</si>
  <si>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</si>
  <si>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</si>
  <si>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</si>
  <si>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</si>
  <si>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</si>
  <si>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</si>
  <si>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</si>
  <si>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</si>
  <si>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</si>
  <si>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</si>
  <si>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</si>
  <si>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</si>
  <si>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</si>
  <si>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</si>
  <si>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</si>
  <si>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</si>
  <si>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</si>
  <si>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</si>
  <si>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</si>
  <si>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</si>
  <si>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</si>
  <si>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</si>
  <si>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</si>
  <si>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</si>
  <si>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</si>
  <si>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</si>
  <si>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</si>
  <si>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</si>
  <si>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</si>
  <si>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</si>
  <si>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</si>
  <si>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</si>
  <si>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</si>
  <si>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</si>
  <si>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</si>
  <si>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</si>
  <si>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</si>
  <si>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</si>
  <si>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</si>
  <si>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</si>
  <si>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</si>
  <si>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</si>
  <si>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</si>
  <si>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</si>
  <si>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</si>
  <si>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</si>
  <si>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</si>
  <si>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</si>
  <si>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</si>
  <si>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</si>
  <si>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</si>
  <si>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</si>
  <si>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</si>
  <si>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</si>
  <si>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</si>
  <si>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</si>
  <si>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</si>
  <si>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</si>
  <si>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</si>
  <si>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</si>
  <si>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</si>
  <si>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</si>
  <si>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</si>
  <si>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</si>
  <si>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</si>
  <si>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</si>
  <si>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</si>
  <si>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</si>
  <si>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</si>
  <si>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</si>
  <si>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</si>
  <si>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</si>
  <si>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</si>
  <si>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</si>
  <si>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</si>
  <si>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</si>
  <si>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</si>
  <si>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</si>
  <si>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</si>
  <si>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</si>
  <si>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</si>
  <si>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</si>
  <si>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</si>
  <si>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</si>
  <si>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</si>
  <si>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</si>
  <si>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</si>
  <si>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</si>
  <si>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</si>
  <si>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</si>
  <si>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</si>
  <si>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</si>
  <si>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</si>
  <si>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</si>
  <si>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</si>
  <si>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</si>
  <si>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</si>
  <si>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</si>
  <si>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</si>
  <si>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</si>
  <si>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</si>
  <si>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</si>
  <si>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</si>
  <si>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</si>
  <si>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</si>
  <si>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</si>
  <si>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</si>
  <si>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</si>
  <si>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</si>
  <si>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</si>
  <si>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</si>
  <si>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</si>
  <si>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</si>
  <si>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</si>
  <si>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</si>
  <si>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</si>
  <si>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</si>
  <si>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</si>
  <si>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</si>
  <si>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</si>
  <si>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</si>
  <si>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</si>
  <si>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</si>
  <si>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</si>
  <si>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</si>
  <si>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</si>
  <si>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</si>
  <si>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</si>
  <si>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</si>
  <si>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</si>
  <si>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</si>
  <si>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</si>
  <si>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</si>
  <si>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</si>
  <si>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</si>
  <si>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</si>
  <si>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</si>
  <si>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</si>
  <si>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</si>
  <si>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</si>
  <si>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</si>
  <si>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</si>
  <si>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</si>
  <si>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</si>
  <si>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</si>
  <si>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</si>
  <si>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</si>
  <si>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</si>
  <si>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</si>
  <si>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</si>
  <si>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</si>
  <si>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</si>
  <si>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</si>
  <si>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</si>
  <si>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</si>
  <si>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</si>
  <si>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</si>
  <si>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</si>
  <si>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</si>
  <si>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</si>
  <si>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</si>
  <si>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</si>
  <si>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</si>
  <si>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</si>
  <si>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</si>
  <si>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</si>
  <si>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</si>
  <si>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</si>
  <si>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</si>
  <si>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</si>
  <si>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</si>
  <si>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</si>
  <si>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</si>
  <si>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</si>
  <si>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</si>
  <si>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</si>
  <si>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</si>
  <si>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</si>
  <si>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</si>
  <si>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</si>
  <si>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</si>
  <si>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</si>
  <si>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</si>
  <si>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</si>
  <si>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</si>
  <si>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</si>
  <si>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</si>
  <si>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</si>
  <si>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</si>
  <si>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</si>
  <si>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</si>
  <si>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</si>
  <si>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</si>
  <si>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</si>
  <si>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</si>
  <si>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</si>
  <si>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</si>
  <si>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</si>
  <si>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</si>
  <si>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</si>
  <si>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</si>
  <si>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</si>
  <si>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</si>
  <si>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</si>
  <si>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</si>
  <si>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</si>
  <si>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</si>
  <si>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</si>
  <si>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</si>
  <si>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</si>
  <si>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</si>
  <si>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</si>
  <si>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</si>
  <si>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</si>
  <si>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</si>
  <si>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</si>
  <si>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</si>
  <si>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</si>
  <si>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</si>
  <si>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</si>
  <si>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</si>
  <si>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</si>
  <si>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</si>
  <si>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</si>
  <si>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</si>
  <si>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</si>
  <si>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</si>
  <si>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</si>
  <si>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</si>
  <si>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</si>
  <si>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</si>
  <si>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</si>
  <si>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</si>
  <si>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</si>
  <si>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</si>
  <si>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</si>
  <si>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</si>
  <si>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</si>
  <si>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</si>
  <si>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</si>
  <si>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</si>
  <si>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</si>
  <si>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</si>
  <si>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</si>
  <si>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</si>
  <si>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</si>
  <si>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</si>
  <si>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</si>
  <si>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</si>
  <si>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</si>
  <si>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</si>
  <si>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</si>
  <si>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</si>
  <si>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</si>
  <si>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</si>
  <si>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</si>
  <si>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</si>
  <si>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</si>
  <si>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</si>
  <si>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</si>
  <si>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</si>
  <si>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</si>
  <si>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</si>
  <si>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</si>
  <si>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</si>
  <si>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</si>
  <si>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</si>
  <si>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</si>
  <si>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</si>
  <si>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</si>
  <si>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</si>
  <si>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</si>
  <si>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</si>
  <si>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</si>
  <si>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</si>
  <si>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</si>
  <si>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</si>
  <si>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</si>
  <si>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</si>
  <si>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</si>
  <si>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</si>
  <si>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</si>
  <si>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</si>
  <si>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</si>
  <si>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</si>
  <si>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</si>
  <si>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</si>
  <si>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</si>
  <si>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</si>
  <si>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</si>
  <si>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</si>
  <si>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</si>
  <si>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</si>
  <si>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</si>
  <si>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</si>
  <si>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</si>
  <si>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</si>
  <si>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</si>
  <si>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</si>
  <si>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</si>
  <si>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</si>
  <si>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</si>
  <si>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</si>
  <si>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</si>
  <si>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</si>
  <si>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</si>
  <si>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</si>
  <si>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</si>
  <si>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</si>
  <si>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</si>
  <si>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</si>
  <si>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</si>
  <si>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</si>
  <si>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</si>
  <si>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</si>
  <si>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</si>
  <si>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</si>
  <si>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</si>
  <si>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</si>
  <si>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</si>
  <si>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</si>
  <si>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</si>
  <si>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</si>
  <si>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</si>
  <si>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</si>
  <si>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</si>
  <si>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</si>
  <si>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</si>
  <si>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</si>
  <si>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</si>
  <si>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</si>
  <si>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</si>
  <si>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</si>
  <si>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</si>
  <si>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</si>
  <si>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</si>
  <si>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</si>
  <si>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</si>
  <si>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</si>
  <si>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</si>
  <si>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</si>
  <si>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</si>
  <si>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</si>
  <si>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</si>
  <si>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</si>
  <si>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</si>
  <si>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</si>
  <si>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</si>
  <si>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</si>
  <si>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</si>
  <si>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</si>
  <si>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</si>
  <si>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</si>
  <si>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</si>
  <si>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</si>
  <si>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</si>
  <si>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</si>
  <si>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</si>
  <si>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</si>
  <si>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</si>
  <si>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</si>
  <si>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</si>
  <si>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</si>
  <si>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</si>
  <si>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</si>
  <si>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</si>
  <si>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</si>
  <si>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</si>
  <si>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</si>
  <si>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</si>
  <si>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</si>
  <si>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</si>
  <si>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</si>
  <si>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</si>
  <si>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</si>
  <si>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</si>
  <si>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</si>
  <si>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</si>
  <si>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</si>
  <si>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</si>
  <si>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</si>
  <si>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</si>
  <si>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</si>
  <si>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</si>
  <si>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</si>
  <si>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</si>
  <si>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</si>
  <si>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</si>
  <si>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</si>
  <si>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</si>
  <si>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</si>
  <si>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</si>
  <si>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</si>
  <si>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</si>
  <si>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</si>
  <si>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</si>
  <si>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</si>
  <si>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</si>
  <si>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</si>
  <si>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</si>
  <si>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</si>
  <si>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</si>
  <si>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</si>
  <si>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</si>
  <si>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</si>
  <si>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</si>
  <si>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</si>
  <si>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</si>
  <si>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</si>
  <si>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</si>
  <si>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</si>
  <si>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</si>
  <si>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</si>
  <si>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</si>
  <si>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</si>
  <si>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</si>
  <si>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</si>
  <si>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</si>
  <si>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</si>
  <si>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</si>
  <si>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</si>
  <si>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</si>
  <si>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</si>
  <si>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</si>
  <si>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</si>
  <si>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</si>
  <si>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</si>
  <si>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</si>
  <si>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</si>
  <si>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</si>
  <si>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</si>
  <si>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</si>
  <si>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</si>
  <si>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</si>
  <si>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</si>
  <si>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</si>
  <si>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</si>
  <si>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</si>
  <si>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</si>
  <si>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</si>
  <si>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</si>
  <si>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</si>
  <si>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</si>
  <si>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</si>
  <si>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</si>
  <si>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</si>
  <si>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</si>
  <si>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</si>
  <si>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</si>
  <si>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</si>
  <si>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</si>
  <si>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</si>
  <si>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</si>
  <si>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</si>
  <si>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</si>
  <si>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</si>
  <si>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</si>
  <si>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</si>
  <si>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</si>
  <si>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</si>
  <si>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</si>
  <si>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</si>
  <si>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</si>
  <si>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</si>
  <si>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</si>
  <si>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</si>
  <si>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</si>
  <si>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</si>
  <si>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</si>
  <si>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</si>
  <si>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</si>
  <si>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</si>
  <si>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</si>
  <si>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</si>
  <si>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</si>
  <si>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</si>
  <si>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</si>
  <si>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</si>
  <si>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</si>
  <si>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</si>
  <si>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</si>
  <si>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</si>
  <si>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</si>
  <si>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</si>
  <si>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</si>
  <si>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</si>
  <si>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</si>
  <si>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</si>
  <si>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</si>
  <si>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</si>
  <si>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</si>
  <si>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</si>
  <si>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</si>
  <si>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</si>
  <si>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</si>
  <si>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</si>
  <si>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</si>
  <si>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</si>
  <si>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</si>
  <si>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</si>
  <si>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</si>
  <si>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</si>
  <si>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</si>
  <si>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</si>
  <si>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</si>
  <si>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</si>
  <si>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</si>
  <si>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</si>
  <si>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</si>
  <si>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</si>
  <si>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</si>
  <si>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</si>
  <si>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</si>
  <si>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</si>
  <si>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</si>
  <si>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</si>
  <si>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</si>
  <si>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</si>
  <si>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</si>
  <si>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</si>
  <si>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</si>
  <si>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</si>
  <si>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</si>
  <si>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</si>
  <si>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</si>
  <si>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</si>
  <si>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</si>
  <si>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</si>
  <si>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</si>
  <si>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</si>
  <si>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</si>
  <si>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</si>
  <si>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</si>
  <si>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</si>
  <si>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</si>
  <si>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</si>
  <si>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</si>
  <si>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</si>
  <si>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</si>
  <si>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</si>
  <si>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</si>
  <si>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</si>
  <si>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</si>
  <si>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</si>
  <si>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</si>
  <si>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</si>
  <si>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</si>
  <si>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</si>
  <si>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</si>
  <si>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</si>
  <si>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</si>
  <si>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</si>
  <si>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</si>
  <si>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</si>
  <si>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</si>
  <si>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</si>
  <si>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</si>
  <si>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</si>
  <si>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</si>
  <si>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</si>
  <si>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</si>
  <si>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</si>
  <si>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</si>
  <si>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</si>
  <si>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</si>
  <si>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</si>
  <si>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</si>
  <si>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</si>
  <si>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</si>
  <si>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</si>
  <si>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</si>
  <si>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</si>
  <si>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</si>
  <si>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</si>
  <si>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</si>
  <si>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</si>
  <si>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</si>
  <si>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</si>
  <si>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</si>
  <si>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</si>
  <si>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</si>
  <si>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</si>
  <si>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</si>
  <si>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</si>
  <si>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</si>
  <si>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</si>
  <si>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</si>
  <si>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</si>
  <si>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</si>
  <si>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</si>
  <si>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</si>
  <si>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</si>
  <si>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</si>
  <si>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</si>
  <si>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</si>
  <si>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</si>
  <si>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</si>
  <si>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</si>
  <si>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</si>
  <si>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</si>
  <si>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</si>
  <si>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</si>
  <si>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</si>
  <si>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</si>
  <si>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</si>
  <si>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</si>
  <si>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</si>
  <si>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</si>
  <si>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</si>
  <si>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</si>
  <si>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</si>
  <si>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</si>
  <si>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</si>
  <si>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</si>
  <si>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</si>
  <si>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</si>
  <si>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</si>
  <si>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</si>
  <si>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</si>
  <si>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</si>
  <si>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</si>
  <si>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</si>
  <si>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</si>
  <si>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</si>
  <si>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</si>
  <si>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</si>
  <si>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</si>
  <si>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</si>
  <si>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</si>
  <si>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</si>
  <si>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</si>
  <si>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</si>
  <si>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</si>
  <si>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</si>
  <si>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</si>
  <si>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</si>
  <si>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</si>
  <si>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</si>
  <si>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</si>
  <si>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</si>
  <si>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</si>
  <si>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</si>
  <si>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</si>
  <si>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</si>
  <si>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</si>
  <si>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</si>
  <si>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</si>
  <si>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</si>
  <si>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</si>
  <si>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</si>
  <si>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</si>
  <si>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</si>
  <si>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</si>
  <si>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</si>
  <si>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</si>
  <si>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</si>
  <si>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</si>
  <si>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</si>
  <si>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</si>
  <si>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</si>
  <si>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</si>
  <si>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</si>
  <si>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</si>
  <si>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</si>
  <si>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</si>
  <si>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</si>
  <si>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</si>
  <si>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</si>
  <si>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</si>
  <si>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</si>
  <si>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</si>
  <si>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</si>
  <si>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</si>
  <si>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</si>
  <si>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</si>
  <si>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</si>
  <si>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</si>
  <si>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</si>
  <si>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</si>
  <si>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</si>
  <si>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</si>
  <si>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</si>
  <si>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</si>
  <si>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</si>
  <si>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</si>
  <si>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</si>
  <si>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</si>
  <si>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</si>
  <si>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</si>
  <si>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</si>
  <si>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</si>
  <si>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</si>
  <si>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</si>
  <si>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</si>
  <si>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</si>
  <si>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</si>
  <si>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</si>
  <si>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</si>
  <si>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</si>
  <si>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</si>
  <si>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</si>
  <si>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</si>
  <si>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</si>
  <si>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</si>
  <si>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</si>
  <si>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</si>
  <si>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</si>
  <si>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</si>
  <si>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</si>
  <si>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</si>
  <si>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</si>
  <si>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</si>
  <si>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</si>
  <si>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</si>
  <si>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</si>
  <si>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</si>
  <si>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</si>
  <si>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</si>
  <si>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</si>
  <si>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</si>
  <si>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</si>
  <si>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</si>
  <si>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</si>
  <si>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</si>
  <si>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</si>
  <si>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</si>
  <si>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</si>
  <si>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</si>
  <si>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</si>
  <si>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</si>
  <si>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</si>
  <si>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</si>
  <si>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</si>
  <si>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</si>
  <si>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</si>
  <si>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</si>
  <si>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</si>
  <si>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</si>
  <si>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</si>
  <si>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</si>
  <si>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</si>
  <si>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</si>
  <si>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</si>
  <si>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</si>
  <si>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</si>
  <si>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</si>
  <si>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</si>
  <si>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</si>
  <si>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</si>
  <si>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</si>
  <si>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</si>
  <si>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</si>
  <si>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</si>
  <si>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</si>
  <si>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</si>
  <si>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</si>
  <si>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</si>
  <si>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</si>
  <si>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</si>
  <si>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</si>
  <si>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</si>
  <si>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</si>
  <si>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</si>
  <si>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</si>
  <si>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</si>
  <si>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</si>
  <si>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</si>
  <si>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</si>
  <si>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</si>
  <si>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</si>
  <si>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</si>
  <si>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</si>
  <si>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</si>
  <si>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</si>
  <si>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</si>
  <si>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</si>
  <si>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</si>
  <si>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</si>
  <si>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</si>
  <si>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</si>
  <si>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</si>
  <si>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</si>
  <si>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</si>
  <si>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</si>
  <si>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</si>
  <si>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</si>
  <si>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</si>
  <si>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</si>
  <si>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</si>
  <si>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</si>
  <si>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</si>
  <si>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</si>
  <si>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</si>
  <si>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</si>
  <si>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</si>
  <si>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</si>
  <si>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</si>
  <si>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</si>
  <si>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</si>
  <si>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</si>
  <si>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</si>
  <si>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</si>
  <si>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</si>
  <si>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</si>
  <si>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</si>
  <si>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</si>
  <si>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</si>
  <si>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</si>
  <si>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</si>
  <si>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</si>
  <si>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</si>
  <si>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</si>
  <si>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</si>
  <si>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</si>
  <si>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</si>
  <si>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</si>
  <si>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</si>
  <si>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</si>
  <si>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</si>
  <si>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</si>
  <si>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</si>
  <si>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</si>
  <si>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</si>
  <si>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</si>
  <si>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</si>
  <si>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</si>
  <si>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</si>
  <si>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</si>
  <si>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</si>
  <si>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</si>
  <si>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</si>
  <si>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</si>
  <si>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</si>
  <si>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</si>
  <si>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</si>
  <si>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</si>
  <si>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</si>
  <si>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</si>
  <si>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</si>
  <si>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</si>
  <si>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</si>
  <si>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</si>
  <si>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</si>
  <si>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</si>
  <si>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</si>
  <si>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</si>
  <si>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</si>
  <si>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</si>
  <si>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</si>
  <si>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</si>
  <si>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</si>
  <si>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</si>
  <si>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</si>
  <si>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</si>
  <si>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</si>
  <si>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</si>
  <si>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</si>
  <si>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</si>
  <si>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</si>
  <si>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</si>
  <si>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</si>
  <si>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</si>
  <si>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</si>
  <si>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</si>
  <si>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</si>
  <si>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</si>
  <si>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</si>
  <si>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</si>
  <si>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</si>
  <si>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</si>
  <si>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</si>
  <si>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</si>
  <si>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</si>
  <si>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</si>
  <si>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</si>
  <si>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</si>
  <si>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</si>
  <si>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</si>
  <si>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</si>
  <si>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</si>
  <si>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</si>
  <si>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</si>
  <si>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</si>
  <si>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</si>
  <si>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</si>
  <si>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</si>
  <si>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</si>
  <si>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</si>
  <si>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</si>
  <si>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</si>
  <si>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</si>
  <si>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</si>
  <si>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</si>
  <si>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</si>
  <si>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</si>
  <si>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</si>
  <si>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</si>
  <si>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</si>
  <si>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</si>
  <si>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</si>
  <si>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</si>
  <si>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</si>
  <si>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</si>
  <si>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</si>
  <si>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</si>
  <si>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</si>
  <si>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</si>
  <si>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</si>
  <si>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</si>
  <si>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</si>
  <si>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</si>
  <si>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</si>
  <si>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</si>
  <si>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</si>
  <si>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</si>
  <si>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</si>
  <si>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</si>
  <si>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</si>
  <si>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</si>
  <si>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</si>
  <si>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</si>
  <si>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</si>
  <si>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</si>
  <si>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</si>
  <si>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</si>
  <si>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</si>
  <si>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</si>
  <si>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</si>
  <si>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</si>
  <si>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</si>
  <si>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</si>
  <si>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</si>
  <si>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</si>
  <si>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</si>
  <si>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</si>
  <si>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</si>
  <si>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</si>
  <si>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</si>
  <si>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</si>
  <si>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</si>
  <si>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</si>
  <si>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</si>
  <si>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</si>
  <si>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</si>
  <si>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</si>
  <si>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</si>
  <si>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</si>
  <si>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</si>
  <si>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</si>
  <si>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</si>
  <si>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</si>
  <si>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</si>
  <si>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</si>
  <si>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</si>
  <si>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</si>
  <si>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</si>
  <si>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</si>
  <si>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</si>
  <si>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</si>
  <si>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</si>
  <si>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</si>
  <si>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</si>
  <si>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</si>
  <si>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</si>
  <si>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</si>
  <si>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</si>
  <si>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</si>
  <si>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</si>
  <si>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</si>
  <si>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</si>
  <si>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</si>
  <si>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</si>
  <si>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</si>
  <si>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</si>
  <si>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</si>
  <si>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</si>
  <si>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</si>
  <si>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</si>
  <si>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</si>
  <si>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</si>
  <si>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</si>
  <si>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</si>
  <si>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</si>
  <si>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</si>
  <si>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</si>
  <si>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</si>
  <si>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</si>
  <si>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</si>
  <si>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</si>
  <si>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</si>
  <si>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</si>
  <si>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</si>
  <si>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</si>
  <si>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</si>
  <si>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</si>
  <si>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</si>
  <si>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</si>
  <si>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</si>
  <si>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</si>
  <si>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</si>
  <si>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</si>
  <si>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</si>
  <si>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</si>
  <si>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</si>
  <si>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</si>
  <si>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</si>
  <si>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</si>
  <si>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</si>
  <si>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</si>
  <si>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</si>
  <si>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</si>
  <si>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</si>
  <si>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</si>
  <si>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</si>
  <si>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</si>
  <si>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</si>
  <si>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</si>
  <si>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</si>
  <si>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</si>
  <si>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</si>
  <si>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</si>
  <si>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</si>
  <si>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</si>
  <si>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</si>
  <si>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</si>
  <si>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</si>
  <si>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</si>
  <si>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</si>
  <si>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</si>
  <si>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</si>
  <si>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</si>
  <si>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</si>
  <si>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</si>
  <si>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</si>
  <si>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</si>
  <si>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</si>
  <si>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</si>
  <si>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</si>
  <si>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</si>
  <si>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</si>
  <si>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</si>
  <si>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</si>
  <si>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</si>
  <si>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</si>
  <si>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</si>
  <si>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</si>
  <si>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</si>
  <si>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</si>
  <si>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</si>
  <si>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</si>
  <si>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</si>
  <si>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</si>
  <si>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</si>
  <si>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</si>
  <si>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</si>
  <si>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</si>
  <si>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</si>
  <si>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</si>
  <si>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</si>
  <si>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</si>
  <si>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</si>
  <si>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</si>
  <si>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</si>
  <si>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</si>
  <si>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</si>
  <si>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</si>
  <si>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</si>
  <si>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</si>
  <si>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</si>
  <si>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</si>
  <si>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</si>
  <si>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</si>
  <si>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</si>
  <si>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</si>
  <si>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</si>
  <si>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</si>
  <si>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</si>
  <si>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</si>
  <si>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</si>
  <si>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</si>
  <si>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</si>
  <si>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</si>
  <si>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</si>
  <si>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</si>
  <si>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</si>
  <si>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</si>
  <si>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</si>
  <si>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</si>
  <si>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</si>
  <si>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</si>
  <si>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</si>
  <si>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</si>
  <si>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</si>
  <si>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</si>
  <si>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</si>
  <si>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</si>
  <si>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</si>
  <si>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</si>
  <si>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</si>
  <si>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</si>
  <si>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</si>
  <si>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</si>
  <si>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</si>
  <si>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</si>
  <si>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</si>
  <si>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</si>
  <si>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</si>
  <si>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</si>
  <si>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</si>
  <si>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</si>
  <si>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</si>
  <si>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</si>
  <si>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</si>
  <si>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</si>
  <si>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</si>
  <si>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</si>
  <si>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</si>
  <si>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</si>
  <si>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</si>
  <si>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</si>
  <si>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</si>
  <si>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</si>
  <si>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</si>
  <si>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</si>
  <si>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</si>
  <si>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</si>
  <si>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</si>
  <si>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</si>
  <si>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</si>
  <si>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</si>
  <si>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</si>
  <si>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</si>
  <si>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</si>
  <si>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</si>
  <si>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</si>
  <si>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</si>
  <si>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</si>
  <si>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</si>
  <si>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</si>
  <si>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</si>
  <si>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</si>
  <si>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</si>
  <si>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</si>
  <si>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</si>
  <si>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</si>
  <si>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</si>
  <si>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</si>
  <si>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</si>
  <si>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</si>
  <si>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</si>
  <si>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</si>
  <si>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</si>
  <si>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</si>
  <si>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</si>
  <si>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</si>
  <si>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</si>
  <si>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</si>
  <si>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</si>
  <si>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</si>
  <si>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</si>
  <si>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</si>
  <si>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</si>
  <si>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</si>
  <si>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</si>
  <si>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</si>
  <si>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</si>
  <si>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</si>
  <si>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</si>
  <si>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</si>
  <si>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</si>
  <si>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</si>
  <si>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</si>
  <si>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</si>
  <si>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</si>
  <si>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</si>
  <si>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</si>
  <si>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</si>
  <si>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</si>
  <si>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</si>
  <si>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</si>
  <si>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</si>
  <si>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</si>
  <si>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</si>
  <si>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</si>
  <si>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</si>
  <si>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</si>
  <si>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</si>
  <si>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</si>
  <si>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</si>
  <si>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</si>
  <si>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</si>
  <si>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</si>
  <si>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</si>
  <si>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</si>
  <si>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</si>
  <si>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</si>
  <si>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</si>
  <si>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</si>
  <si>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</si>
  <si>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</si>
  <si>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</si>
  <si>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</si>
  <si>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</si>
  <si>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</si>
  <si>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</si>
  <si>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</si>
  <si>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</si>
  <si>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</si>
  <si>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</si>
  <si>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</si>
  <si>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</si>
  <si>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</si>
  <si>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</si>
  <si>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</si>
  <si>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</si>
  <si>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</si>
  <si>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</si>
  <si>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</si>
  <si>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</si>
  <si>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</si>
  <si>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</si>
  <si>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</si>
  <si>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</si>
  <si>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</si>
  <si>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</si>
  <si>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</si>
  <si>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</si>
  <si>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</si>
  <si>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</si>
  <si>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</si>
  <si>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</si>
  <si>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</si>
  <si>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</si>
  <si>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</si>
  <si>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</si>
  <si>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</si>
  <si>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</si>
  <si>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</si>
  <si>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</si>
  <si>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</si>
  <si>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</si>
  <si>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</si>
  <si>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</si>
  <si>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</si>
  <si>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</si>
  <si>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</si>
  <si>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</si>
  <si>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</si>
  <si>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</si>
  <si>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</si>
  <si>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</si>
  <si>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</si>
  <si>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</si>
  <si>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</si>
  <si>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</si>
  <si>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</si>
  <si>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</si>
  <si>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</si>
  <si>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</si>
  <si>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</si>
  <si>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</si>
  <si>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</si>
  <si>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</si>
  <si>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</si>
  <si>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</si>
  <si>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</si>
  <si>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</si>
  <si>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</si>
  <si>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</si>
  <si>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</si>
  <si>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</si>
  <si>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</si>
  <si>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</si>
  <si>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</si>
  <si>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</si>
  <si>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</si>
  <si>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</si>
  <si>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</si>
  <si>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</si>
  <si>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</si>
  <si>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</si>
  <si>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</si>
  <si>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</si>
  <si>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</si>
  <si>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</si>
  <si>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</si>
  <si>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</si>
  <si>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</si>
  <si>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</si>
  <si>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</si>
  <si>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</si>
  <si>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</si>
  <si>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</si>
  <si>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</si>
  <si>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</si>
  <si>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</si>
  <si>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</si>
  <si>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</si>
  <si>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</si>
  <si>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</si>
  <si>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</si>
  <si>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</si>
  <si>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</si>
  <si>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</si>
  <si>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</si>
  <si>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</si>
  <si>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</si>
  <si>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</si>
  <si>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</si>
  <si>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</si>
  <si>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</si>
  <si>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</si>
  <si>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</si>
  <si>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</si>
  <si>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</si>
  <si>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</si>
  <si>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</si>
  <si>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</si>
  <si>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</si>
  <si>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</si>
  <si>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</si>
  <si>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</si>
  <si>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</si>
  <si>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</si>
  <si>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</si>
  <si>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</si>
  <si>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</si>
  <si>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</si>
  <si>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</si>
  <si>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</si>
  <si>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</si>
  <si>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</si>
  <si>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</si>
  <si>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</si>
  <si>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</si>
  <si>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</si>
  <si>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</si>
  <si>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</si>
  <si>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</si>
  <si>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</si>
  <si>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</si>
  <si>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</si>
  <si>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</si>
  <si>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</si>
  <si>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</si>
  <si>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</si>
  <si>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</si>
  <si>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</si>
  <si>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</si>
  <si>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</si>
  <si>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</si>
  <si>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</si>
  <si>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</si>
  <si>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</si>
  <si>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</si>
  <si>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</si>
  <si>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</si>
  <si>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</si>
  <si>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</si>
  <si>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</si>
  <si>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</si>
  <si>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</si>
  <si>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</si>
  <si>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</si>
  <si>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</si>
  <si>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</si>
  <si>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</si>
  <si>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</si>
  <si>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</si>
  <si>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</si>
  <si>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</si>
  <si>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</si>
  <si>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</si>
  <si>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</si>
  <si>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</si>
  <si>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</si>
  <si>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</si>
  <si>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</si>
  <si>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</si>
  <si>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</si>
  <si>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</si>
  <si>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</si>
  <si>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</si>
  <si>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</si>
  <si>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</si>
  <si>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</si>
  <si>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</si>
  <si>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</si>
  <si>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</si>
  <si>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</si>
  <si>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</si>
  <si>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</si>
  <si>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</si>
  <si>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</si>
  <si>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</si>
  <si>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</si>
  <si>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</si>
  <si>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</si>
  <si>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</si>
  <si>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</si>
  <si>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</si>
  <si>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</si>
  <si>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</si>
  <si>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</si>
  <si>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</si>
  <si>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</si>
  <si>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</si>
  <si>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</si>
  <si>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</si>
  <si>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</si>
  <si>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</si>
  <si>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</si>
  <si>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</si>
  <si>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</si>
  <si>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</si>
  <si>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</si>
  <si>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</si>
  <si>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</si>
  <si>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</si>
  <si>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</si>
  <si>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</si>
  <si>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</si>
  <si>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</si>
  <si>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</si>
  <si>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</si>
  <si>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</si>
  <si>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</si>
  <si>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</si>
  <si>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</si>
  <si>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</si>
  <si>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</si>
  <si>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</si>
  <si>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</si>
  <si>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</si>
  <si>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</si>
  <si>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</si>
  <si>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</si>
  <si>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</si>
  <si>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</si>
  <si>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</si>
  <si>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</si>
  <si>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</si>
  <si>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</si>
  <si>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</si>
  <si>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</si>
  <si>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</si>
  <si>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</si>
  <si>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</si>
  <si>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</si>
  <si>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</si>
  <si>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</si>
  <si>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</si>
  <si>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</si>
  <si>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</si>
  <si>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</si>
  <si>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</si>
  <si>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</si>
  <si>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</si>
  <si>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</si>
  <si>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</si>
  <si>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</si>
  <si>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</si>
  <si>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</si>
  <si>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</si>
  <si>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</si>
  <si>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</si>
  <si>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</si>
  <si>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</si>
  <si>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</si>
  <si>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</si>
  <si>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</si>
  <si>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</si>
  <si>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</si>
  <si>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</si>
  <si>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</si>
  <si>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</si>
  <si>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</si>
  <si>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</si>
  <si>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</si>
  <si>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</si>
  <si>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</si>
  <si>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</si>
  <si>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</si>
  <si>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</si>
  <si>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</si>
  <si>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</si>
  <si>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</si>
  <si>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</si>
  <si>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</si>
  <si>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</si>
  <si>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</si>
  <si>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</si>
  <si>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</si>
  <si>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</si>
  <si>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</si>
  <si>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</si>
  <si>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</si>
  <si>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</si>
  <si>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</si>
  <si>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</si>
  <si>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</si>
  <si>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</si>
  <si>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</si>
  <si>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</si>
  <si>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</si>
  <si>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</si>
  <si>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</si>
  <si>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</si>
  <si>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</si>
  <si>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</si>
  <si>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</si>
  <si>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</si>
  <si>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</si>
  <si>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</si>
  <si>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</si>
  <si>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</si>
  <si>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</si>
  <si>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</si>
  <si>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</si>
  <si>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</si>
  <si>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</si>
  <si>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</si>
  <si>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</si>
  <si>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</si>
  <si>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</si>
  <si>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</si>
  <si>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</si>
  <si>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</si>
  <si>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</si>
  <si>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</si>
  <si>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</si>
  <si>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</si>
  <si>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</si>
  <si>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</si>
  <si>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</si>
  <si>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</si>
  <si>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</si>
  <si>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</si>
  <si>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</si>
  <si>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</si>
  <si>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</si>
  <si>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</si>
  <si>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</si>
  <si>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</si>
  <si>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</si>
  <si>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</si>
  <si>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</si>
  <si>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</si>
  <si>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</si>
  <si>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</si>
  <si>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</si>
  <si>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</si>
  <si>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</si>
  <si>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</si>
  <si>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</si>
  <si>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</si>
  <si>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</si>
  <si>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</si>
  <si>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</si>
  <si>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</si>
  <si>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</si>
  <si>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</si>
  <si>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</si>
  <si>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</si>
  <si>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</si>
  <si>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</si>
  <si>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</si>
  <si>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</si>
  <si>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</si>
  <si>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</si>
  <si>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</si>
  <si>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</si>
  <si>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</si>
  <si>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</si>
  <si>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</si>
  <si>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</si>
  <si>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</si>
  <si>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</si>
  <si>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</si>
  <si>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</si>
  <si>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</si>
  <si>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</si>
  <si>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</si>
  <si>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</si>
  <si>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</si>
  <si>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</si>
  <si>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</si>
  <si>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</si>
  <si>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</si>
  <si>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</si>
  <si>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</si>
  <si>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</si>
  <si>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</si>
  <si>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</si>
  <si>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</si>
  <si>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</si>
  <si>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</si>
  <si>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</si>
  <si>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</si>
  <si>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</si>
  <si>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</si>
  <si>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</si>
  <si>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</si>
  <si>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</si>
  <si>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</si>
  <si>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</si>
  <si>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</si>
  <si>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</si>
  <si>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</si>
  <si>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</si>
  <si>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</si>
  <si>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</si>
  <si>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</si>
  <si>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</si>
  <si>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</si>
  <si>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</si>
  <si>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</si>
  <si>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</si>
  <si>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</si>
  <si>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</si>
  <si>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</si>
  <si>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</si>
  <si>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</si>
  <si>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</si>
  <si>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</si>
  <si>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</si>
  <si>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</si>
  <si>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</si>
  <si>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</si>
  <si>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</si>
  <si>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</si>
  <si>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</si>
  <si>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</si>
  <si>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</si>
  <si>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</si>
  <si>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</si>
  <si>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</si>
  <si>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</si>
  <si>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</si>
  <si>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</si>
  <si>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</si>
  <si>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</si>
  <si>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</si>
  <si>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</si>
  <si>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</si>
  <si>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</si>
  <si>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</si>
  <si>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</si>
  <si>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</si>
  <si>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</si>
  <si>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</si>
  <si>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</si>
  <si>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</si>
  <si>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</si>
  <si>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</si>
  <si>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</si>
  <si>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</si>
  <si>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</si>
  <si>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</si>
  <si>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</si>
  <si>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</si>
  <si>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</si>
  <si>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</si>
  <si>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</si>
  <si>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</si>
  <si>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</si>
  <si>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</si>
  <si>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</si>
  <si>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</si>
  <si>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</si>
  <si>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</si>
  <si>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</si>
  <si>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</si>
  <si>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</si>
  <si>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</si>
  <si>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</si>
  <si>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</si>
  <si>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</si>
  <si>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</si>
  <si>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</si>
  <si>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</si>
  <si>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</si>
  <si>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</si>
  <si>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</si>
  <si>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</si>
  <si>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</si>
  <si>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</si>
  <si>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</si>
  <si>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</si>
  <si>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</si>
  <si>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</si>
  <si>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</si>
  <si>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</si>
  <si>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</si>
  <si>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</si>
  <si>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</si>
  <si>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</si>
  <si>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</si>
  <si>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</si>
  <si>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</si>
  <si>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</si>
  <si>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</si>
  <si>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</si>
  <si>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</si>
  <si>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</si>
  <si>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</si>
  <si>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</si>
  <si>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</si>
  <si>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</si>
  <si>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</si>
  <si>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</si>
  <si>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</si>
  <si>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</si>
  <si>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</si>
  <si>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</si>
  <si>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</si>
  <si>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</si>
  <si>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</si>
  <si>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</si>
  <si>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</si>
  <si>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</si>
  <si>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</si>
  <si>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</si>
  <si>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</si>
  <si>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</si>
  <si>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</si>
  <si>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</si>
  <si>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</si>
  <si>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</si>
  <si>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</si>
  <si>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</si>
  <si>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</si>
  <si>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</si>
  <si>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</si>
  <si>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</si>
  <si>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</si>
  <si>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</si>
  <si>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</si>
  <si>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</si>
  <si>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</si>
  <si>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</si>
  <si>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</si>
  <si>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</si>
  <si>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</si>
  <si>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</si>
  <si>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</si>
  <si>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</si>
  <si>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</si>
  <si>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</si>
  <si>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</si>
  <si>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</si>
  <si>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</si>
  <si>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</si>
  <si>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</si>
  <si>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</si>
  <si>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</si>
  <si>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</si>
  <si>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</si>
  <si>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</si>
  <si>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</si>
  <si>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</si>
  <si>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</si>
  <si>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</si>
  <si>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</si>
  <si>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</si>
  <si>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</si>
  <si>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</si>
  <si>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</si>
  <si>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</si>
  <si>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</si>
  <si>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</si>
  <si>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</si>
  <si>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</si>
  <si>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</si>
  <si>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</si>
  <si>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</si>
  <si>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</si>
  <si>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</si>
  <si>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</si>
  <si>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</si>
  <si>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</si>
  <si>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</si>
  <si>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</si>
  <si>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</si>
  <si>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</si>
  <si>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</si>
  <si>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</si>
  <si>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</si>
  <si>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</si>
  <si>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</si>
  <si>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</si>
  <si>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</si>
  <si>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</si>
  <si>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</si>
  <si>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</si>
  <si>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</si>
  <si>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</si>
  <si>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</si>
  <si>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</si>
  <si>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</si>
  <si>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</si>
  <si>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</si>
  <si>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</si>
  <si>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</si>
  <si>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</si>
  <si>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</si>
  <si>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</si>
  <si>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</si>
  <si>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</si>
  <si>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</si>
  <si>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</si>
  <si>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</si>
  <si>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</si>
  <si>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</si>
  <si>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</si>
  <si>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</si>
  <si>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</si>
  <si>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</si>
  <si>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</si>
  <si>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</si>
  <si>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</si>
  <si>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</si>
  <si>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</si>
  <si>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</si>
  <si>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</si>
  <si>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</si>
  <si>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</si>
  <si>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</si>
  <si>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</si>
  <si>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</si>
  <si>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</si>
  <si>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</si>
  <si>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</si>
  <si>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</si>
  <si>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</si>
  <si>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</si>
  <si>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</si>
  <si>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</si>
  <si>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</si>
  <si>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</si>
  <si>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</si>
  <si>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</si>
  <si>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</si>
  <si>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</si>
  <si>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</si>
  <si>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</si>
  <si>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</si>
  <si>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</si>
  <si>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</si>
  <si>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</si>
  <si>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</si>
  <si>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</si>
  <si>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</si>
  <si>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</si>
  <si>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</si>
  <si>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</si>
  <si>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</si>
  <si>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</si>
  <si>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</si>
  <si>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</si>
  <si>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</si>
  <si>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</si>
  <si>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</si>
  <si>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</si>
  <si>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</si>
  <si>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</si>
  <si>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</si>
  <si>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</si>
  <si>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</si>
  <si>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</si>
  <si>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</si>
  <si>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</si>
  <si>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</si>
  <si>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</si>
  <si>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</si>
  <si>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</si>
  <si>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</si>
  <si>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</si>
  <si>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</si>
  <si>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</si>
  <si>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</si>
  <si>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</si>
  <si>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</si>
  <si>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</si>
  <si>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</si>
  <si>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</si>
  <si>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</si>
  <si>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</si>
  <si>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</si>
  <si>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</si>
  <si>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</si>
  <si>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</si>
  <si>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</si>
  <si>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</si>
  <si>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</si>
  <si>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</si>
  <si>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</si>
  <si>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</si>
  <si>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</si>
  <si>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</si>
  <si>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</si>
  <si>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</si>
  <si>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</si>
  <si>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</si>
  <si>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</si>
  <si>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</si>
  <si>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</si>
  <si>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</si>
  <si>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</si>
  <si>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</si>
  <si>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</si>
  <si>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</si>
  <si>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</si>
  <si>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</si>
  <si>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</si>
  <si>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</si>
  <si>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</si>
  <si>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</si>
  <si>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</si>
  <si>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</si>
  <si>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</si>
  <si>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</si>
  <si>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</si>
  <si>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</si>
  <si>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</si>
  <si>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</si>
  <si>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</si>
  <si>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</si>
  <si>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</si>
  <si>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</si>
  <si>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</si>
  <si>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</si>
  <si>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</si>
  <si>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</si>
  <si>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</si>
  <si>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</si>
  <si>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</si>
  <si>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</si>
  <si>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</si>
  <si>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</si>
  <si>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</si>
  <si>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</si>
  <si>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</si>
  <si>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</si>
  <si>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</si>
  <si>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</si>
  <si>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</si>
  <si>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</si>
  <si>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</si>
  <si>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</si>
  <si>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</si>
  <si>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</si>
  <si>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</si>
  <si>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</si>
  <si>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</si>
  <si>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</si>
  <si>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</si>
  <si>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</si>
  <si>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</si>
  <si>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</si>
  <si>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</si>
  <si>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</si>
  <si>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</si>
  <si>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</si>
  <si>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</si>
  <si>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</si>
  <si>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</si>
  <si>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</si>
  <si>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</si>
  <si>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</si>
  <si>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</si>
  <si>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</si>
  <si>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</si>
  <si>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</si>
  <si>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</si>
  <si>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</si>
  <si>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</si>
  <si>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</si>
  <si>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</si>
  <si>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</si>
  <si>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</si>
  <si>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</si>
  <si>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</si>
  <si>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</si>
  <si>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</si>
  <si>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</si>
  <si>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</si>
  <si>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</si>
  <si>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</si>
  <si>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</si>
  <si>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</si>
  <si>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</si>
  <si>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</si>
  <si>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</si>
  <si>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</si>
  <si>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</si>
  <si>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</si>
  <si>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</si>
  <si>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</si>
  <si>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</si>
  <si>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</si>
  <si>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</si>
  <si>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</si>
  <si>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</si>
  <si>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</si>
  <si>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</si>
  <si>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</si>
  <si>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</si>
  <si>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</si>
  <si>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</si>
  <si>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</si>
  <si>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</si>
  <si>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</si>
  <si>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</si>
  <si>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</si>
  <si>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</si>
  <si>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</si>
  <si>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</si>
  <si>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</si>
  <si>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</si>
  <si>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</si>
  <si>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</si>
  <si>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</si>
  <si>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</si>
  <si>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</si>
  <si>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</si>
  <si>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</si>
  <si>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</si>
  <si>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</si>
  <si>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</si>
  <si>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</si>
  <si>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</si>
  <si>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</si>
  <si>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</si>
  <si>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</si>
  <si>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</si>
  <si>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</si>
  <si>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</si>
  <si>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</si>
  <si>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</si>
  <si>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</si>
  <si>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</si>
  <si>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</si>
  <si>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</si>
  <si>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</si>
  <si>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</si>
  <si>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</si>
  <si>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</si>
  <si>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</si>
  <si>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</si>
  <si>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</si>
  <si>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</si>
  <si>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</si>
  <si>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</si>
  <si>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</si>
  <si>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</si>
  <si>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</si>
  <si>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</si>
  <si>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</si>
  <si>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</si>
  <si>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</si>
  <si>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</si>
  <si>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</si>
  <si>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</si>
  <si>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</si>
  <si>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</si>
  <si>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</si>
  <si>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</si>
  <si>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</si>
  <si>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</si>
  <si>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</si>
  <si>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</si>
  <si>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</si>
  <si>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</si>
  <si>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</si>
  <si>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</si>
  <si>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</si>
  <si>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</si>
  <si>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</si>
  <si>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</si>
  <si>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</si>
  <si>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</si>
  <si>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</si>
  <si>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</si>
  <si>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</si>
  <si>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</si>
  <si>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</si>
  <si>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</si>
  <si>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</si>
  <si>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</si>
  <si>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</si>
  <si>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</si>
  <si>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</si>
  <si>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</si>
  <si>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</si>
  <si>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</si>
  <si>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</si>
  <si>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</si>
  <si>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</si>
  <si>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</si>
  <si>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</si>
  <si>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</si>
  <si>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</si>
  <si>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</si>
  <si>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</si>
  <si>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</si>
  <si>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</si>
  <si>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</si>
  <si>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</si>
  <si>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</si>
  <si>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</si>
  <si>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</si>
  <si>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</si>
  <si>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</si>
  <si>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</si>
  <si>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</si>
  <si>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</si>
  <si>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</si>
  <si>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</si>
  <si>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</si>
  <si>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</si>
  <si>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</si>
  <si>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</si>
  <si>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</si>
  <si>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</si>
  <si>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</si>
  <si>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</si>
  <si>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</si>
  <si>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</si>
  <si>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</si>
  <si>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</si>
  <si>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</si>
  <si>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</si>
  <si>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</si>
  <si>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</si>
  <si>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</si>
  <si>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</si>
  <si>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</si>
  <si>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</si>
  <si>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</si>
  <si>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</si>
  <si>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</si>
  <si>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</si>
  <si>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</si>
  <si>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</si>
  <si>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</si>
  <si>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</si>
  <si>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</si>
  <si>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</si>
  <si>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</si>
  <si>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</si>
  <si>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</si>
  <si>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</si>
  <si>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</si>
  <si>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</si>
  <si>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</si>
  <si>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</si>
  <si>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</si>
  <si>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</si>
  <si>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</si>
  <si>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</si>
  <si>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</si>
  <si>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</si>
  <si>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</si>
  <si>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</si>
  <si>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</si>
  <si>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</si>
  <si>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</si>
  <si>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</si>
  <si>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</si>
  <si>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</si>
  <si>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</si>
  <si>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</si>
  <si>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</si>
  <si>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</si>
  <si>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</si>
  <si>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</si>
  <si>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</si>
  <si>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</si>
  <si>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</si>
  <si>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</si>
  <si>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</si>
  <si>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</si>
  <si>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</si>
  <si>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</si>
  <si>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</si>
  <si>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</si>
  <si>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</si>
  <si>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</si>
  <si>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</si>
  <si>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</si>
  <si>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</si>
  <si>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</si>
  <si>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</si>
  <si>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</si>
  <si>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</si>
  <si>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</si>
  <si>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</si>
  <si>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</si>
  <si>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</si>
  <si>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</si>
  <si>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</si>
  <si>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</si>
  <si>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</si>
  <si>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</si>
  <si>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</si>
  <si>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</si>
  <si>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</si>
  <si>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</si>
  <si>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</si>
  <si>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</si>
  <si>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</si>
  <si>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</si>
  <si>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</si>
  <si>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</si>
  <si>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</si>
  <si>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</si>
  <si>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</si>
  <si>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</si>
  <si>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</si>
  <si>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</si>
  <si>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</si>
  <si>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</si>
  <si>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</si>
  <si>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</si>
  <si>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</si>
  <si>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</si>
  <si>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</si>
  <si>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</si>
  <si>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</si>
  <si>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</si>
  <si>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</si>
  <si>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</si>
  <si>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</si>
  <si>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</si>
  <si>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</si>
  <si>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</si>
  <si>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</si>
  <si>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</si>
  <si>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</si>
  <si>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</si>
  <si>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</si>
  <si>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</si>
  <si>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</si>
  <si>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</si>
  <si>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</si>
  <si>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</si>
  <si>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</si>
  <si>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</si>
  <si>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</si>
  <si>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</si>
  <si>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</si>
  <si>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</si>
  <si>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</si>
  <si>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</si>
  <si>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</si>
  <si>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</si>
  <si>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</si>
  <si>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</si>
  <si>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</si>
  <si>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</si>
  <si>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</si>
  <si>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</si>
  <si>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</si>
  <si>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</si>
  <si>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</si>
  <si>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</si>
  <si>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</si>
  <si>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</si>
  <si>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</si>
  <si>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</si>
  <si>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</si>
  <si>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</si>
  <si>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</si>
  <si>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</si>
  <si>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</si>
  <si>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</si>
  <si>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</si>
  <si>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</si>
  <si>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</si>
  <si>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</si>
  <si>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</si>
  <si>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</si>
  <si>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</si>
  <si>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</si>
  <si>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</si>
  <si>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</si>
  <si>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</si>
  <si>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</si>
  <si>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</si>
  <si>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</si>
  <si>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</si>
  <si>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</si>
  <si>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</si>
  <si>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</si>
  <si>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</si>
  <si>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</si>
  <si>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</si>
  <si>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</si>
  <si>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</si>
  <si>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</si>
  <si>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</si>
  <si>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</si>
  <si>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</si>
  <si>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</si>
  <si>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</si>
  <si>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</si>
  <si>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</si>
  <si>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</si>
  <si>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</si>
  <si>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</si>
  <si>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</si>
  <si>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</si>
  <si>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</si>
  <si>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</si>
  <si>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</si>
  <si>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</si>
  <si>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</si>
  <si>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</si>
  <si>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</si>
  <si>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</si>
  <si>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</si>
  <si>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</si>
  <si>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</si>
  <si>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</si>
  <si>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</si>
  <si>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</si>
  <si>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</si>
  <si>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</si>
  <si>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</si>
  <si>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</si>
  <si>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</si>
  <si>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</si>
  <si>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</si>
  <si>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</si>
  <si>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</si>
  <si>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</si>
  <si>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</si>
  <si>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</si>
  <si>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</si>
  <si>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</si>
  <si>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</si>
  <si>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</si>
  <si>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</si>
  <si>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</si>
  <si>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</si>
  <si>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</si>
  <si>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</si>
  <si>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</si>
  <si>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</si>
  <si>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</si>
  <si>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</si>
  <si>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</si>
  <si>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</si>
  <si>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</si>
  <si>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</si>
  <si>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</si>
  <si>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</si>
  <si>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</si>
  <si>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</si>
  <si>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</si>
  <si>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</si>
  <si>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</si>
  <si>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</si>
  <si>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</si>
  <si>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</si>
  <si>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</si>
  <si>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</si>
  <si>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</si>
  <si>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</si>
  <si>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</si>
  <si>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</si>
  <si>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</si>
  <si>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</si>
  <si>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</si>
  <si>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</si>
  <si>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</si>
  <si>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</si>
  <si>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</si>
  <si>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</si>
  <si>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</si>
  <si>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</si>
  <si>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</si>
  <si>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</si>
  <si>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</si>
  <si>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</si>
  <si>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</si>
  <si>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</si>
  <si>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</si>
  <si>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</si>
  <si>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</si>
  <si>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</si>
  <si>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</si>
  <si>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</si>
  <si>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</si>
  <si>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</si>
  <si>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</si>
  <si>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</si>
  <si>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</si>
  <si>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</si>
  <si>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</si>
  <si>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</si>
  <si>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</si>
  <si>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</si>
  <si>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</si>
  <si>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</si>
  <si>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</si>
  <si>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</si>
  <si>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</si>
  <si>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</si>
  <si>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</si>
  <si>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</si>
  <si>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</si>
  <si>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</si>
  <si>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</si>
  <si>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</si>
  <si>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</si>
  <si>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</si>
  <si>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</si>
  <si>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</si>
  <si>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</si>
  <si>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</si>
  <si>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</si>
  <si>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</si>
  <si>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</si>
  <si>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</si>
  <si>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</si>
  <si>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</si>
  <si>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</si>
  <si>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</si>
  <si>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</si>
  <si>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</si>
  <si>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</si>
  <si>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</si>
  <si>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</si>
  <si>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</si>
  <si>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</si>
  <si>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</si>
  <si>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</si>
  <si>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</si>
  <si>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</si>
  <si>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</si>
  <si>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</si>
  <si>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</si>
  <si>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</si>
  <si>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</si>
  <si>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</si>
  <si>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</si>
  <si>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</si>
  <si>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</si>
  <si>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</si>
  <si>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</si>
  <si>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</si>
  <si>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</si>
  <si>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</si>
  <si>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</si>
  <si>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</si>
  <si>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</si>
  <si>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</si>
  <si>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</si>
  <si>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</si>
  <si>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</si>
  <si>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</si>
  <si>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</si>
  <si>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</si>
  <si>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</si>
  <si>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</si>
  <si>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</si>
  <si>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</si>
  <si>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</si>
  <si>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</si>
  <si>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</si>
  <si>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</si>
  <si>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</si>
  <si>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</si>
  <si>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</si>
  <si>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</si>
  <si>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</si>
  <si>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</si>
  <si>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</si>
  <si>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</si>
  <si>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</si>
  <si>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</si>
  <si>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</si>
  <si>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</si>
  <si>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</si>
  <si>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</si>
  <si>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</si>
  <si>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</si>
  <si>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</si>
  <si>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</si>
  <si>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</si>
  <si>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</si>
  <si>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</si>
  <si>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</si>
  <si>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</si>
  <si>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</si>
  <si>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</si>
  <si>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</si>
  <si>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</si>
  <si>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</si>
  <si>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</si>
  <si>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</si>
  <si>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</si>
  <si>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</si>
  <si>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</si>
  <si>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</si>
  <si>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</si>
  <si>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</si>
  <si>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</si>
  <si>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</si>
  <si>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</si>
  <si>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</si>
  <si>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</si>
  <si>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</si>
  <si>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</si>
  <si>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</si>
  <si>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</si>
  <si>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</si>
  <si>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</si>
  <si>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</si>
  <si>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</si>
  <si>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</si>
  <si>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</si>
  <si>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</si>
  <si>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</si>
  <si>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</si>
  <si>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</si>
  <si>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</si>
  <si>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</si>
  <si>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</si>
  <si>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</si>
  <si>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</si>
  <si>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</si>
  <si>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</si>
  <si>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</si>
  <si>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</si>
  <si>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</si>
  <si>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</si>
  <si>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</si>
  <si>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</si>
  <si>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</si>
  <si>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</si>
  <si>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</si>
  <si>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</si>
  <si>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</si>
  <si>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</si>
  <si>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</si>
  <si>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</si>
  <si>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</si>
  <si>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</si>
  <si>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</si>
  <si>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</si>
  <si>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</si>
  <si>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</si>
  <si>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</si>
  <si>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</si>
  <si>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</si>
  <si>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</si>
  <si>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</si>
  <si>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</si>
  <si>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</si>
  <si>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</si>
  <si>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</si>
  <si>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</si>
  <si>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</si>
  <si>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</si>
  <si>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</si>
  <si>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</si>
  <si>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</si>
  <si>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</si>
  <si>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</si>
  <si>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</si>
  <si>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</si>
  <si>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</si>
  <si>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</si>
  <si>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</si>
  <si>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</si>
  <si>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</si>
  <si>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</si>
  <si>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</si>
  <si>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</si>
  <si>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</si>
  <si>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</si>
  <si>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</si>
  <si>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</si>
  <si>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</si>
  <si>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</si>
  <si>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</si>
  <si>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</si>
  <si>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</si>
  <si>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</si>
  <si>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</si>
  <si>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</si>
  <si>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</si>
  <si>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</si>
  <si>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</si>
  <si>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</si>
  <si>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</si>
  <si>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</si>
  <si>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</si>
  <si>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</si>
  <si>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</si>
  <si>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</si>
  <si>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</si>
  <si>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</si>
  <si>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</si>
  <si>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</si>
  <si>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</si>
  <si>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</si>
  <si>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</si>
  <si>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</si>
  <si>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</si>
  <si>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</si>
  <si>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</si>
  <si>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</si>
  <si>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</si>
  <si>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</si>
  <si>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</si>
  <si>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</si>
  <si>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</si>
  <si>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</si>
  <si>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</si>
  <si>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</si>
  <si>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</si>
  <si>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</si>
  <si>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</si>
  <si>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</si>
  <si>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</si>
  <si>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</si>
  <si>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</si>
  <si>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</si>
  <si>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</si>
  <si>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</si>
  <si>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</si>
  <si>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</si>
  <si>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</si>
  <si>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</si>
  <si>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</si>
  <si>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</si>
  <si>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</si>
  <si>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</si>
  <si>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</si>
  <si>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</si>
  <si>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</si>
  <si>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</si>
  <si>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</si>
  <si>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</si>
  <si>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</si>
  <si>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</si>
  <si>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</si>
  <si>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</si>
  <si>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</si>
  <si>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</si>
  <si>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</si>
  <si>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</si>
  <si>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</si>
  <si>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</si>
  <si>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</si>
  <si>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</si>
  <si>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</si>
  <si>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</si>
  <si>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</si>
  <si>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</si>
  <si>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</si>
  <si>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</si>
  <si>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</si>
  <si>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</si>
  <si>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</si>
  <si>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</si>
  <si>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</si>
  <si>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</si>
  <si>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</si>
  <si>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</si>
  <si>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</si>
  <si>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</si>
  <si>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</si>
  <si>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</si>
  <si>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</si>
  <si>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</si>
  <si>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</si>
  <si>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</si>
  <si>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</si>
  <si>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</si>
  <si>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</si>
  <si>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</si>
  <si>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</si>
  <si>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</si>
  <si>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</si>
  <si>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</si>
  <si>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</si>
  <si>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</si>
  <si>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</si>
  <si>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</si>
  <si>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</si>
  <si>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</si>
  <si>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</si>
  <si>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</si>
  <si>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</si>
  <si>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</si>
  <si>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</si>
  <si>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</si>
  <si>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</si>
  <si>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</si>
  <si>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</si>
  <si>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</si>
  <si>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</si>
  <si>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</si>
  <si>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</si>
  <si>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</si>
  <si>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</si>
  <si>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</si>
  <si>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</si>
  <si>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</si>
  <si>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</si>
  <si>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</si>
  <si>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</si>
  <si>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</si>
  <si>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</si>
  <si>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</si>
  <si>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</si>
  <si>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</si>
  <si>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</si>
  <si>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</si>
  <si>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</si>
  <si>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</si>
  <si>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</si>
  <si>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</si>
  <si>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</si>
  <si>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</si>
  <si>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</si>
  <si>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</si>
  <si>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</si>
  <si>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</si>
  <si>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</si>
  <si>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</si>
  <si>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</si>
  <si>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</si>
  <si>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</si>
  <si>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</si>
  <si>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</si>
  <si>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</si>
  <si>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</si>
  <si>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</si>
  <si>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</si>
  <si>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</si>
  <si>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</si>
  <si>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</si>
  <si>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</si>
  <si>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</si>
  <si>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</si>
  <si>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</si>
  <si>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</si>
  <si>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</si>
  <si>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</si>
  <si>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</si>
  <si>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</si>
  <si>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</si>
  <si>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</si>
  <si>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</si>
  <si>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</si>
  <si>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</si>
  <si>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</si>
  <si>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</si>
  <si>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</si>
  <si>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</si>
  <si>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</si>
  <si>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</si>
  <si>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</si>
  <si>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</si>
  <si>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</si>
  <si>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</si>
  <si>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</si>
  <si>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</si>
  <si>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</si>
  <si>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</si>
  <si>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</si>
  <si>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</si>
  <si>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</si>
  <si>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</si>
  <si>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</si>
  <si>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</si>
  <si>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</si>
  <si>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</si>
  <si>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</si>
  <si>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</si>
  <si>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</si>
  <si>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</si>
  <si>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</si>
  <si>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</si>
  <si>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</si>
  <si>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</si>
  <si>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</si>
  <si>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</si>
  <si>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</si>
  <si>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</si>
  <si>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</si>
  <si>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</si>
  <si>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</si>
  <si>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</si>
  <si>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</si>
  <si>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</si>
  <si>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</si>
  <si>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</si>
  <si>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</si>
  <si>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</si>
  <si>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</si>
  <si>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</si>
  <si>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</si>
  <si>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</si>
  <si>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</si>
  <si>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</si>
  <si>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</si>
  <si>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</si>
  <si>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</si>
  <si>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</si>
  <si>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</si>
  <si>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</si>
  <si>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</si>
  <si>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</si>
  <si>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</si>
  <si>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</si>
  <si>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</si>
  <si>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</si>
  <si>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</si>
  <si>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</si>
  <si>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</si>
  <si>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</si>
  <si>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</si>
  <si>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</si>
  <si>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</si>
  <si>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</si>
  <si>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</si>
  <si>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</si>
  <si>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</si>
  <si>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</si>
  <si>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</si>
  <si>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</si>
  <si>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</si>
  <si>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</si>
  <si>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</si>
  <si>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</si>
  <si>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</si>
  <si>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</si>
  <si>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</si>
  <si>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</si>
  <si>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</si>
  <si>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</si>
  <si>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</si>
  <si>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</si>
  <si>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</si>
  <si>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</si>
  <si>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</si>
  <si>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</si>
  <si>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</si>
  <si>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</si>
  <si>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</si>
  <si>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</si>
  <si>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</si>
  <si>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</si>
  <si>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</si>
  <si>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</si>
  <si>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</si>
  <si>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</si>
  <si>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</si>
  <si>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</si>
  <si>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</si>
  <si>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</si>
  <si>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</si>
  <si>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</si>
  <si>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</si>
  <si>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</si>
  <si>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</si>
  <si>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</si>
  <si>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</si>
  <si>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</si>
  <si>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</si>
  <si>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</si>
  <si>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</si>
  <si>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</si>
  <si>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</si>
  <si>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</si>
  <si>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</si>
  <si>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</si>
  <si>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</si>
  <si>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</si>
  <si>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</si>
  <si>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</si>
  <si>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</si>
  <si>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</si>
  <si>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</si>
  <si>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</si>
  <si>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</si>
  <si>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</si>
  <si>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</si>
  <si>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</si>
  <si>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</si>
  <si>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</si>
  <si>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</si>
  <si>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</si>
  <si>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</si>
  <si>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</si>
  <si>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</si>
  <si>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</si>
  <si>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</si>
  <si>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</si>
  <si>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</si>
  <si>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</si>
  <si>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</si>
  <si>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</si>
  <si>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</si>
  <si>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</si>
  <si>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</si>
  <si>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</si>
  <si>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</si>
  <si>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</si>
  <si>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</si>
  <si>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</si>
  <si>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</si>
  <si>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</si>
  <si>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</si>
  <si>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</si>
  <si>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</si>
  <si>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</si>
  <si>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</si>
  <si>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</si>
  <si>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</si>
  <si>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</si>
  <si>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</si>
  <si>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</si>
  <si>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</si>
  <si>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</si>
  <si>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</si>
  <si>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</si>
  <si>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</si>
  <si>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</si>
  <si>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</si>
  <si>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</si>
  <si>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</si>
  <si>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</si>
  <si>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</si>
  <si>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</si>
  <si>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</si>
  <si>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</si>
  <si>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</si>
  <si>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</si>
  <si>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</si>
  <si>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</si>
  <si>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</si>
  <si>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</si>
  <si>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</si>
  <si>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</si>
  <si>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</si>
  <si>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</si>
  <si>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</si>
  <si>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</si>
  <si>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</si>
  <si>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</si>
  <si>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</si>
  <si>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</si>
  <si>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</si>
  <si>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</si>
  <si>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</si>
  <si>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</si>
  <si>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</si>
  <si>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</si>
  <si>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</si>
  <si>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</si>
  <si>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</si>
  <si>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</si>
  <si>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</si>
  <si>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</si>
  <si>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</si>
  <si>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</si>
  <si>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</si>
  <si>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</si>
  <si>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</si>
  <si>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</si>
  <si>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</si>
  <si>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</si>
  <si>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</si>
  <si>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</si>
  <si>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</si>
  <si>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</si>
  <si>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</si>
  <si>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</si>
  <si>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</si>
  <si>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</si>
  <si>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</si>
  <si>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</si>
  <si>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</si>
  <si>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</si>
  <si>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</si>
  <si>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</si>
  <si>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</si>
  <si>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</si>
  <si>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</si>
  <si>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</si>
  <si>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</si>
  <si>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</si>
  <si>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</si>
  <si>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</si>
  <si>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</si>
  <si>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</si>
  <si>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</si>
  <si>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</si>
  <si>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</si>
  <si>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</si>
  <si>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</si>
  <si>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</si>
  <si>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</si>
  <si>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</si>
  <si>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</si>
  <si>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</si>
  <si>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</si>
  <si>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</si>
  <si>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</si>
  <si>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</si>
  <si>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</si>
  <si>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</si>
  <si>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</si>
  <si>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</si>
  <si>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</si>
  <si>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</si>
  <si>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</si>
  <si>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</si>
  <si>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</si>
  <si>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</si>
  <si>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</si>
  <si>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</si>
  <si>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</si>
  <si>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</si>
  <si>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</si>
  <si>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</si>
  <si>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</si>
  <si>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</si>
  <si>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</si>
  <si>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</si>
  <si>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</si>
  <si>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</si>
  <si>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</si>
  <si>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</si>
  <si>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</si>
  <si>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</si>
  <si>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</si>
  <si>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</si>
  <si>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</si>
  <si>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</si>
  <si>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</si>
  <si>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</si>
  <si>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</si>
  <si>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</si>
  <si>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</si>
  <si>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</si>
  <si>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</si>
  <si>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</si>
  <si>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</si>
  <si>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</si>
  <si>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</si>
  <si>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</si>
  <si>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</si>
  <si>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</si>
  <si>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</si>
  <si>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</si>
  <si>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</si>
  <si>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</si>
  <si>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</si>
  <si>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</si>
  <si>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</si>
  <si>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</si>
  <si>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</si>
  <si>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</si>
  <si>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</si>
  <si>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</si>
  <si>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</si>
  <si>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</si>
  <si>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</si>
  <si>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</si>
  <si>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</si>
  <si>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</si>
  <si>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</si>
  <si>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</si>
  <si>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</si>
  <si>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</si>
  <si>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</si>
  <si>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</si>
  <si>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</si>
  <si>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</si>
  <si>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</si>
  <si>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</si>
  <si>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</si>
  <si>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</si>
  <si>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</si>
  <si>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</si>
  <si>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</si>
  <si>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</si>
  <si>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</si>
  <si>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</si>
  <si>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</si>
  <si>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</si>
  <si>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</si>
  <si>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</si>
  <si>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</si>
  <si>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</si>
  <si>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</si>
  <si>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</si>
  <si>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</si>
  <si>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</si>
  <si>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</si>
  <si>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</si>
  <si>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</si>
  <si>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</si>
  <si>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</si>
  <si>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</si>
  <si>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</si>
  <si>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</si>
  <si>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</si>
  <si>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</si>
  <si>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</si>
  <si>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</si>
  <si>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</si>
  <si>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</si>
  <si>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</si>
  <si>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</si>
  <si>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</si>
  <si>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</si>
  <si>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</si>
  <si>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</si>
  <si>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</si>
  <si>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</si>
  <si>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</si>
  <si>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</si>
  <si>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</si>
  <si>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</si>
  <si>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</si>
  <si>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</si>
  <si>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</si>
  <si>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</si>
  <si>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</si>
  <si>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</si>
  <si>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</si>
  <si>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</si>
  <si>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</si>
  <si>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</si>
  <si>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</si>
  <si>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</si>
  <si>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</si>
  <si>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</si>
  <si>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</si>
  <si>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</si>
  <si>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</si>
  <si>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</si>
  <si>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</si>
  <si>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</si>
  <si>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</si>
  <si>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</si>
  <si>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</si>
  <si>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</si>
  <si>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</si>
  <si>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</si>
  <si>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</si>
  <si>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</si>
  <si>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</si>
  <si>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</si>
  <si>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</si>
  <si>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</si>
  <si>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</si>
  <si>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</si>
  <si>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</si>
  <si>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</si>
  <si>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</si>
  <si>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</si>
  <si>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</si>
  <si>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</si>
  <si>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</si>
  <si>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</si>
  <si>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</si>
  <si>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</si>
  <si>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</si>
  <si>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</si>
  <si>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</si>
  <si>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</si>
  <si>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</si>
  <si>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</si>
  <si>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</si>
  <si>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</si>
  <si>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</si>
  <si>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</si>
  <si>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</si>
  <si>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</si>
  <si>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</si>
  <si>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</si>
  <si>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</si>
  <si>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</si>
  <si>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</si>
  <si>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</si>
  <si>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</si>
  <si>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</si>
  <si>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</si>
  <si>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</si>
  <si>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</si>
  <si>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</si>
  <si>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</si>
  <si>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</si>
  <si>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</si>
  <si>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</si>
  <si>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</si>
  <si>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</si>
  <si>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</si>
  <si>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</si>
  <si>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</si>
  <si>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</si>
  <si>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</si>
  <si>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</si>
  <si>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</si>
  <si>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</si>
  <si>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</si>
  <si>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</si>
  <si>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</si>
  <si>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</si>
  <si>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</si>
  <si>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</si>
  <si>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</si>
  <si>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</si>
  <si>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</si>
  <si>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</si>
  <si>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</si>
  <si>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</si>
  <si>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</si>
  <si>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</si>
  <si>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</si>
  <si>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</si>
  <si>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</si>
  <si>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</si>
  <si>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</si>
  <si>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</si>
  <si>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</si>
  <si>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</si>
  <si>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</si>
  <si>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</si>
  <si>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</si>
  <si>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</si>
  <si>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</si>
  <si>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</si>
  <si>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</si>
  <si>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</si>
  <si>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</si>
  <si>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</si>
  <si>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</si>
  <si>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</si>
  <si>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</si>
  <si>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</si>
  <si>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</si>
  <si>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</si>
  <si>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</si>
  <si>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</si>
  <si>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</si>
  <si>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</si>
  <si>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</si>
  <si>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</si>
  <si>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</si>
  <si>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</si>
  <si>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</si>
  <si>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</si>
  <si>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</si>
  <si>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</si>
  <si>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</si>
  <si>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</si>
  <si>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</si>
  <si>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</si>
  <si>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</si>
  <si>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</si>
  <si>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</si>
  <si>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</si>
  <si>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</si>
  <si>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</si>
  <si>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</si>
  <si>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</si>
  <si>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</si>
  <si>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</si>
  <si>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</si>
  <si>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</si>
  <si>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</si>
  <si>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</si>
  <si>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</si>
  <si>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</si>
  <si>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</si>
  <si>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</si>
  <si>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</si>
  <si>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</si>
  <si>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</si>
  <si>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</si>
  <si>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</si>
  <si>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</si>
  <si>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</si>
  <si>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</si>
  <si>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</si>
  <si>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</si>
  <si>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</si>
  <si>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</si>
  <si>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</si>
  <si>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</si>
  <si>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</si>
  <si>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</si>
  <si>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</si>
  <si>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</si>
  <si>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</si>
  <si>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</si>
  <si>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</si>
  <si>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</si>
  <si>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</si>
  <si>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</si>
  <si>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</si>
  <si>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</si>
  <si>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</si>
  <si>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</si>
  <si>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</si>
  <si>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</si>
  <si>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</si>
  <si>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</si>
  <si>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</si>
  <si>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</si>
  <si>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</si>
  <si>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</si>
  <si>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</si>
  <si>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</si>
  <si>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</si>
  <si>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</si>
  <si>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</si>
  <si>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</si>
  <si>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</si>
  <si>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</si>
  <si>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</si>
  <si>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</si>
  <si>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</si>
  <si>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</si>
  <si>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</si>
  <si>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</si>
  <si>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</si>
  <si>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</si>
  <si>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</si>
  <si>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</si>
  <si>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</si>
  <si>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</si>
  <si>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</si>
  <si>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</si>
  <si>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</si>
  <si>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</si>
  <si>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</si>
  <si>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</si>
  <si>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</si>
  <si>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</si>
  <si>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</si>
  <si>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</si>
  <si>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</si>
  <si>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</si>
  <si>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</si>
  <si>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</si>
  <si>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</si>
  <si>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</si>
  <si>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</si>
  <si>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</si>
  <si>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</si>
  <si>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</si>
  <si>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</si>
  <si>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</si>
  <si>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</si>
  <si>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</si>
  <si>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</si>
  <si>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</si>
  <si>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</si>
  <si>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</si>
  <si>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</si>
  <si>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</si>
  <si>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</si>
  <si>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</si>
  <si>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</si>
  <si>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</si>
  <si>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</si>
  <si>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</si>
  <si>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</si>
  <si>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</si>
  <si>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</si>
  <si>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</si>
  <si>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</si>
  <si>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</si>
  <si>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</si>
  <si>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</si>
  <si>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</si>
  <si>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</si>
  <si>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</si>
  <si>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</si>
  <si>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</si>
  <si>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</si>
  <si>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</si>
  <si>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</si>
  <si>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</si>
  <si>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</si>
  <si>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</si>
  <si>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</si>
  <si>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</si>
  <si>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</si>
  <si>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</si>
  <si>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</si>
  <si>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</si>
  <si>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</si>
  <si>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</si>
  <si>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</si>
  <si>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</si>
  <si>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</si>
  <si>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</si>
  <si>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</si>
  <si>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</si>
  <si>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</si>
  <si>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</si>
  <si>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</si>
  <si>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</si>
  <si>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</si>
  <si>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</si>
  <si>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</si>
  <si>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</si>
  <si>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</si>
  <si>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</si>
  <si>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</si>
  <si>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</si>
  <si>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</si>
  <si>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</si>
  <si>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</si>
  <si>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</si>
  <si>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</si>
  <si>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</si>
  <si>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</si>
  <si>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</si>
  <si>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</si>
  <si>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</si>
  <si>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</si>
  <si>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</si>
  <si>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</si>
  <si>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</si>
  <si>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</si>
  <si>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</si>
  <si>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</si>
  <si>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</si>
  <si>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</si>
  <si>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</si>
  <si>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</si>
  <si>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</si>
  <si>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</si>
  <si>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</si>
  <si>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</si>
  <si>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</si>
  <si>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</si>
  <si>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</si>
  <si>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</si>
  <si>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</si>
  <si>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</si>
  <si>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</si>
  <si>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</si>
  <si>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</si>
  <si>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</si>
  <si>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</si>
  <si>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</si>
  <si>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</si>
  <si>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</si>
  <si>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</si>
  <si>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</si>
  <si>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</si>
  <si>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</si>
  <si>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</si>
  <si>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</si>
  <si>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</si>
  <si>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</si>
  <si>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</si>
  <si>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</si>
  <si>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</si>
  <si>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</si>
  <si>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</si>
  <si>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</si>
  <si>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</si>
  <si>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</si>
  <si>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</si>
  <si>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</si>
  <si>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</si>
  <si>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</si>
  <si>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</si>
  <si>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</si>
  <si>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</si>
  <si>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</si>
  <si>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</si>
  <si>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</si>
  <si>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</si>
  <si>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</si>
  <si>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</si>
  <si>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</si>
  <si>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</si>
  <si>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</si>
  <si>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</si>
  <si>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</si>
  <si>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</si>
  <si>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</si>
  <si>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</si>
  <si>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</si>
  <si>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</si>
  <si>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</si>
  <si>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</si>
  <si>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</si>
  <si>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</si>
  <si>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</si>
  <si>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</si>
  <si>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</si>
  <si>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</si>
  <si>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</si>
  <si>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</si>
  <si>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</si>
  <si>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</si>
  <si>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</si>
  <si>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</si>
  <si>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</si>
  <si>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</si>
  <si>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</si>
  <si>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</si>
  <si>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</si>
  <si>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</si>
  <si>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</si>
  <si>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</si>
  <si>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</si>
  <si>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</si>
  <si>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</si>
  <si>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</si>
  <si>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</si>
  <si>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</si>
  <si>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</si>
  <si>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</si>
  <si>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</si>
  <si>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</si>
  <si>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</si>
  <si>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</si>
  <si>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</si>
  <si>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</si>
  <si>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</si>
  <si>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</si>
  <si>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</si>
  <si>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</si>
  <si>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</si>
  <si>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</si>
  <si>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</si>
  <si>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</si>
  <si>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</si>
  <si>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</si>
  <si>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</si>
  <si>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</si>
  <si>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</si>
  <si>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</si>
  <si>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</si>
  <si>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</si>
  <si>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</si>
  <si>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</si>
  <si>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</si>
  <si>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</si>
  <si>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</si>
  <si>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</si>
  <si>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</si>
  <si>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</si>
  <si>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</si>
  <si>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</si>
  <si>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</si>
  <si>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</si>
  <si>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</si>
  <si>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</si>
  <si>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</si>
  <si>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</si>
  <si>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</si>
  <si>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</si>
  <si>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</si>
  <si>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</si>
  <si>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</si>
  <si>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</si>
  <si>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</si>
  <si>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</si>
  <si>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</si>
  <si>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</si>
  <si>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</si>
  <si>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</si>
  <si>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</si>
  <si>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</si>
  <si>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</si>
  <si>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</si>
  <si>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</si>
  <si>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</si>
  <si>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</si>
  <si>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</si>
  <si>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</si>
  <si>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</si>
  <si>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</si>
  <si>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</si>
  <si>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</si>
  <si>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</si>
  <si>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</si>
  <si>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</si>
  <si>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</si>
  <si>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</si>
  <si>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</si>
  <si>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</si>
  <si>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</si>
  <si>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</si>
  <si>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</si>
  <si>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</si>
  <si>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</si>
  <si>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</si>
  <si>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</si>
  <si>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</si>
  <si>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</si>
  <si>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</si>
  <si>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</si>
  <si>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</si>
  <si>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</si>
  <si>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</si>
  <si>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</si>
  <si>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</si>
  <si>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</si>
  <si>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</si>
  <si>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</si>
  <si>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</si>
  <si>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</si>
  <si>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</si>
  <si>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</si>
  <si>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</si>
  <si>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</si>
  <si>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</si>
  <si>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</si>
  <si>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</si>
  <si>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</si>
  <si>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</si>
  <si>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</si>
  <si>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</si>
  <si>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</si>
  <si>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</si>
  <si>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</si>
  <si>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</si>
  <si>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</si>
  <si>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</si>
  <si>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</si>
  <si>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</si>
  <si>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</si>
  <si>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</si>
  <si>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</si>
  <si>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</si>
  <si>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</si>
  <si>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</si>
  <si>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</si>
  <si>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</si>
  <si>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</si>
  <si>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</si>
  <si>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</si>
  <si>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</si>
  <si>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</si>
  <si>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</si>
  <si>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</si>
  <si>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</si>
  <si>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</si>
  <si>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</si>
  <si>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</si>
  <si>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</si>
  <si>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</si>
  <si>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</si>
  <si>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</si>
  <si>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</si>
  <si>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</si>
  <si>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</si>
  <si>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</si>
  <si>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</si>
  <si>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</si>
  <si>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</si>
  <si>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</si>
  <si>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</si>
  <si>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</si>
  <si>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</si>
  <si>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</si>
  <si>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</si>
  <si>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</si>
  <si>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</si>
  <si>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</si>
  <si>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</si>
  <si>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</si>
  <si>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</si>
  <si>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</si>
  <si>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</si>
  <si>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</si>
  <si>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</si>
  <si>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</si>
  <si>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</si>
  <si>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</si>
  <si>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</si>
  <si>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</si>
  <si>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</si>
  <si>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</si>
  <si>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</si>
  <si>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</si>
  <si>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</si>
  <si>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</si>
  <si>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</si>
  <si>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</si>
  <si>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</si>
  <si>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</si>
  <si>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</si>
  <si>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</si>
  <si>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</si>
  <si>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</si>
  <si>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</si>
  <si>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</si>
  <si>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</si>
  <si>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</si>
  <si>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</si>
  <si>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</si>
  <si>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</si>
  <si>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</si>
  <si>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</si>
  <si>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</si>
  <si>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</si>
  <si>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</si>
  <si>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</si>
  <si>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</si>
  <si>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</si>
  <si>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</si>
  <si>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</si>
  <si>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</si>
  <si>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</si>
  <si>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</si>
  <si>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</si>
  <si>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</si>
  <si>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</si>
  <si>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</si>
  <si>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</si>
  <si>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</si>
  <si>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</si>
  <si>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</si>
  <si>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</si>
  <si>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</si>
  <si>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</si>
  <si>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</si>
  <si>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</si>
  <si>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</si>
  <si>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</si>
  <si>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</si>
  <si>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</si>
  <si>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</si>
  <si>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</si>
  <si>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</si>
  <si>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</si>
  <si>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</si>
  <si>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</si>
  <si>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</si>
  <si>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</si>
  <si>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</si>
  <si>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</si>
  <si>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</si>
  <si>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</si>
  <si>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</si>
  <si>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</si>
  <si>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</si>
  <si>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</si>
  <si>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</si>
  <si>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</si>
  <si>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</si>
  <si>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</si>
  <si>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</si>
  <si>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</si>
  <si>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</si>
  <si>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</si>
  <si>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</si>
  <si>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</si>
  <si>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</si>
  <si>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</si>
  <si>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</si>
  <si>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</si>
  <si>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</si>
  <si>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</si>
  <si>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</si>
  <si>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</si>
  <si>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</si>
  <si>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</si>
  <si>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</si>
  <si>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</si>
  <si>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</si>
  <si>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</si>
  <si>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</si>
  <si>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</si>
  <si>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</si>
  <si>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</si>
  <si>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</si>
  <si>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</si>
  <si>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</si>
  <si>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</si>
  <si>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</si>
  <si>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</si>
  <si>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</si>
  <si>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</si>
  <si>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</si>
  <si>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</si>
  <si>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</si>
  <si>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</si>
  <si>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</si>
  <si>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</si>
  <si>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</si>
  <si>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</si>
  <si>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</si>
  <si>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</si>
  <si>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</si>
  <si>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</si>
  <si>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</si>
  <si>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</si>
  <si>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</si>
  <si>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</si>
  <si>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</si>
  <si>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</si>
  <si>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</si>
  <si>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</si>
  <si>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</si>
  <si>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</si>
  <si>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</si>
  <si>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</si>
  <si>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</si>
  <si>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</si>
  <si>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</si>
  <si>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</si>
  <si>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</si>
  <si>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</si>
  <si>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</si>
  <si>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</si>
  <si>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</si>
  <si>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</si>
  <si>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</si>
  <si>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</si>
  <si>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</si>
  <si>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</si>
  <si>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</si>
  <si>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</si>
  <si>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</si>
  <si>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</si>
  <si>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</si>
  <si>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</si>
  <si>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</si>
  <si>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</si>
  <si>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</si>
  <si>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</si>
  <si>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</si>
  <si>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</si>
  <si>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</si>
  <si>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</si>
  <si>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</si>
  <si>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</si>
  <si>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</si>
  <si>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</si>
  <si>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</si>
  <si>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</si>
  <si>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</si>
  <si>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</si>
  <si>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</si>
  <si>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</si>
  <si>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</si>
  <si>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</si>
  <si>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</si>
  <si>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</si>
  <si>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</si>
  <si>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</si>
  <si>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</si>
  <si>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</si>
  <si>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</si>
  <si>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</si>
  <si>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</si>
  <si>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</si>
  <si>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</si>
  <si>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</si>
  <si>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</si>
  <si>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</si>
  <si>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</si>
  <si>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</si>
  <si>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</si>
  <si>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</si>
  <si>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</si>
  <si>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</si>
  <si>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</si>
  <si>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</si>
  <si>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</si>
  <si>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</si>
  <si>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</si>
  <si>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</si>
  <si>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</si>
  <si>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</si>
  <si>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</si>
  <si>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</si>
  <si>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</si>
  <si>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</si>
  <si>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</si>
  <si>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</si>
  <si>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</si>
  <si>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</si>
  <si>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</si>
  <si>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</si>
  <si>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</si>
  <si>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</si>
  <si>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</si>
  <si>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</si>
  <si>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</si>
  <si>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</si>
  <si>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</si>
  <si>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</si>
  <si>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</si>
  <si>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</si>
  <si>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</si>
  <si>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</si>
  <si>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</si>
  <si>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</si>
  <si>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</si>
  <si>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</si>
  <si>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</si>
  <si>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</si>
  <si>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</si>
  <si>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</si>
  <si>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</si>
  <si>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</si>
  <si>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</si>
  <si>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</si>
  <si>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</si>
  <si>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</si>
  <si>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</si>
  <si>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</si>
  <si>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</si>
  <si>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</si>
  <si>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</si>
  <si>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</si>
  <si>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</si>
  <si>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</si>
  <si>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</si>
  <si>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</si>
  <si>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</si>
  <si>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</si>
  <si>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</si>
  <si>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</si>
  <si>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</si>
  <si>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</si>
  <si>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</si>
  <si>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</si>
  <si>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</si>
  <si>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</si>
  <si>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</si>
  <si>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</si>
  <si>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</si>
  <si>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</si>
  <si>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</si>
  <si>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</si>
  <si>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</si>
  <si>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</si>
  <si>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</si>
  <si>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</si>
  <si>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</si>
  <si>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</si>
  <si>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</si>
  <si>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</si>
  <si>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</si>
  <si>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</si>
  <si>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</si>
  <si>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</si>
  <si>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</si>
  <si>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</si>
  <si>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</si>
  <si>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</si>
  <si>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</si>
  <si>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</si>
  <si>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</si>
  <si>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</si>
  <si>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</si>
  <si>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</si>
  <si>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</si>
  <si>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</si>
  <si>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</si>
  <si>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</si>
  <si>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</si>
  <si>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</si>
  <si>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</si>
  <si>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</si>
  <si>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</si>
  <si>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</si>
  <si>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</si>
  <si>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</si>
  <si>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</si>
  <si>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</si>
  <si>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</si>
  <si>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</si>
  <si>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</si>
  <si>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</si>
  <si>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</si>
  <si>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</si>
  <si>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</si>
  <si>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</si>
  <si>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</si>
  <si>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</si>
  <si>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</si>
  <si>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</si>
  <si>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</si>
  <si>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</si>
  <si>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</si>
  <si>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</si>
  <si>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</si>
  <si>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</si>
  <si>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</si>
  <si>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</si>
  <si>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</si>
  <si>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</si>
  <si>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</si>
  <si>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</si>
  <si>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</si>
  <si>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</si>
  <si>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</si>
  <si>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</si>
  <si>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</si>
  <si>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</si>
  <si>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</si>
  <si>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</si>
  <si>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</si>
  <si>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</si>
  <si>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</si>
  <si>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</si>
  <si>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</si>
  <si>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</si>
  <si>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</si>
  <si>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</si>
  <si>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</si>
  <si>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</si>
  <si>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</si>
  <si>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</si>
  <si>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</si>
  <si>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</si>
  <si>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</si>
  <si>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</si>
  <si>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</si>
  <si>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</si>
  <si>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</si>
  <si>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</si>
  <si>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</si>
  <si>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</si>
  <si>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</si>
  <si>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</si>
  <si>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</si>
  <si>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</si>
  <si>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</si>
  <si>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</si>
  <si>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</si>
  <si>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</si>
  <si>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</si>
  <si>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</si>
  <si>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</si>
  <si>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</si>
  <si>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</si>
  <si>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</si>
  <si>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</si>
  <si>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</si>
  <si>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</si>
  <si>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</si>
  <si>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</si>
  <si>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</si>
  <si>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</si>
  <si>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</si>
  <si>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</si>
  <si>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</si>
  <si>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</si>
  <si>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</si>
  <si>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</si>
  <si>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</si>
  <si>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</si>
  <si>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</si>
  <si>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</si>
  <si>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</si>
  <si>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</si>
  <si>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</si>
  <si>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</si>
  <si>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</si>
  <si>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</si>
  <si>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</si>
  <si>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</si>
  <si>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</si>
  <si>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</si>
  <si>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</si>
  <si>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</si>
  <si>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</si>
  <si>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</si>
  <si>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</si>
  <si>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</si>
  <si>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</si>
  <si>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</si>
  <si>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</si>
  <si>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</si>
  <si>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</si>
  <si>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</si>
  <si>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</si>
  <si>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</si>
  <si>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</si>
  <si>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</si>
  <si>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</si>
  <si>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</si>
  <si>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</si>
  <si>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</si>
  <si>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</si>
  <si>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</si>
  <si>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</si>
  <si>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</si>
  <si>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</si>
  <si>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</si>
  <si>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</si>
  <si>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</si>
  <si>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</si>
  <si>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</si>
  <si>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</si>
  <si>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</si>
  <si>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</si>
  <si>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</si>
  <si>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</si>
  <si>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</si>
  <si>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</si>
  <si>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</si>
  <si>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</si>
  <si>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</si>
  <si>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</si>
  <si>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</si>
  <si>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</si>
  <si>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</si>
  <si>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</si>
  <si>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</si>
  <si>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</si>
  <si>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</si>
  <si>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</si>
  <si>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</si>
  <si>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</si>
  <si>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</si>
  <si>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</si>
  <si>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</si>
  <si>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</si>
  <si>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</si>
  <si>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</si>
  <si>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</si>
  <si>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</si>
  <si>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</si>
  <si>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</si>
  <si>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</si>
  <si>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</si>
  <si>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</si>
  <si>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</si>
  <si>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</si>
  <si>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</si>
  <si>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</si>
  <si>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</si>
  <si>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</si>
  <si>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</si>
  <si>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</si>
  <si>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</si>
  <si>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</si>
  <si>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</si>
  <si>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</si>
  <si>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</si>
  <si>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</si>
  <si>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</si>
  <si>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</si>
  <si>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</si>
  <si>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</si>
  <si>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</si>
  <si>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</si>
  <si>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</si>
  <si>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</si>
  <si>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</si>
  <si>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</si>
  <si>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</si>
  <si>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</si>
  <si>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</si>
  <si>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</si>
  <si>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</si>
  <si>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</si>
  <si>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</si>
  <si>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</si>
  <si>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</si>
  <si>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</si>
  <si>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</si>
  <si>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</si>
  <si>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</si>
  <si>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</si>
  <si>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</si>
  <si>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</si>
  <si>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</si>
  <si>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</si>
  <si>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</si>
  <si>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</si>
  <si>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</si>
  <si>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</si>
  <si>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</si>
  <si>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</si>
  <si>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</si>
  <si>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</si>
  <si>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</si>
  <si>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</si>
  <si>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</si>
  <si>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</si>
  <si>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</si>
  <si>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</si>
  <si>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</si>
  <si>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</si>
  <si>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</si>
  <si>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</si>
  <si>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</si>
  <si>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</si>
  <si>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</si>
  <si>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</si>
  <si>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</si>
  <si>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</si>
  <si>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</si>
  <si>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</si>
  <si>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</si>
  <si>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</si>
  <si>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</si>
  <si>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</si>
  <si>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</si>
  <si>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</si>
  <si>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</si>
  <si>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</si>
  <si>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</si>
  <si>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</si>
  <si>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</si>
  <si>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</si>
  <si>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</si>
  <si>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</si>
  <si>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</si>
  <si>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</si>
  <si>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</si>
  <si>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</si>
  <si>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</si>
  <si>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</si>
  <si>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</si>
  <si>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</si>
  <si>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</si>
  <si>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</si>
  <si>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</si>
  <si>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</si>
  <si>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</si>
  <si>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</si>
  <si>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</si>
  <si>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</si>
  <si>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</si>
  <si>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</si>
  <si>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</si>
  <si>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</si>
  <si>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</si>
  <si>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</si>
  <si>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</si>
  <si>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</si>
  <si>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</si>
  <si>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</si>
  <si>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</si>
  <si>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</si>
  <si>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</si>
  <si>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</si>
  <si>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</si>
  <si>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</si>
  <si>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</si>
  <si>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</si>
  <si>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</si>
  <si>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</si>
  <si>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</si>
  <si>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</si>
  <si>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</si>
  <si>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</si>
  <si>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</si>
  <si>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</si>
  <si>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</si>
  <si>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</si>
  <si>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</si>
  <si>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</si>
  <si>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</si>
  <si>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</si>
  <si>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</si>
  <si>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</si>
  <si>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</si>
  <si>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</si>
  <si>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</si>
  <si>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</si>
  <si>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</si>
  <si>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</si>
  <si>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</si>
  <si>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</si>
  <si>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</si>
  <si>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</si>
  <si>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</si>
  <si>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</si>
  <si>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</si>
  <si>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</si>
  <si>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</si>
  <si>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</si>
  <si>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</si>
  <si>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</si>
  <si>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</si>
  <si>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</si>
  <si>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</si>
  <si>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</si>
  <si>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</si>
  <si>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</si>
  <si>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</si>
  <si>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</si>
  <si>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</si>
  <si>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</si>
  <si>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</si>
  <si>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</si>
  <si>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</si>
  <si>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</si>
  <si>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</si>
  <si>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</si>
  <si>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</si>
  <si>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</si>
  <si>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</si>
  <si>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</si>
  <si>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</si>
  <si>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</si>
  <si>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</si>
  <si>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</si>
  <si>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</si>
  <si>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</si>
  <si>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</si>
  <si>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</si>
  <si>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</si>
  <si>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</si>
  <si>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</si>
  <si>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</si>
  <si>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</si>
  <si>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</si>
  <si>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</si>
  <si>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</si>
  <si>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</si>
  <si>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</si>
  <si>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</si>
  <si>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</si>
  <si>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</si>
  <si>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</si>
  <si>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</si>
  <si>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</si>
  <si>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</si>
  <si>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</si>
  <si>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</si>
  <si>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</si>
  <si>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</si>
  <si>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</si>
  <si>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</si>
  <si>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</si>
  <si>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</si>
  <si>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</si>
  <si>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</si>
  <si>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</si>
  <si>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</si>
  <si>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</si>
  <si>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</si>
  <si>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</si>
  <si>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</si>
  <si>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</si>
  <si>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</si>
  <si>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</si>
  <si>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</si>
  <si>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</si>
  <si>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</si>
  <si>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</si>
  <si>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</si>
  <si>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</si>
  <si>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</si>
  <si>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</si>
  <si>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</si>
  <si>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</si>
  <si>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</si>
  <si>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</si>
  <si>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</si>
  <si>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</si>
  <si>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</si>
  <si>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</si>
  <si>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</si>
  <si>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</si>
  <si>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</si>
  <si>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</si>
  <si>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</si>
  <si>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</si>
  <si>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</si>
  <si>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</si>
  <si>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</si>
  <si>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</si>
  <si>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</si>
  <si>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</si>
  <si>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</si>
  <si>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</si>
  <si>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</si>
  <si>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</si>
  <si>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</si>
  <si>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</si>
  <si>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</si>
  <si>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</si>
  <si>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</si>
  <si>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</si>
  <si>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</si>
  <si>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</si>
  <si>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</si>
  <si>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</si>
  <si>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</si>
  <si>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</si>
  <si>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</si>
  <si>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</si>
  <si>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</si>
  <si>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</si>
  <si>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</si>
  <si>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</si>
  <si>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</si>
  <si>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</si>
  <si>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</si>
  <si>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</si>
  <si>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</si>
  <si>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</si>
  <si>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</si>
  <si>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</si>
  <si>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</si>
  <si>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</si>
  <si>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</si>
  <si>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</si>
  <si>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</si>
  <si>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</si>
  <si>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</si>
  <si>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</si>
  <si>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</si>
  <si>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</si>
  <si>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</si>
  <si>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</si>
  <si>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</si>
  <si>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</si>
  <si>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</si>
  <si>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</si>
  <si>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</si>
  <si>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</si>
  <si>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</si>
  <si>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</si>
  <si>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</si>
  <si>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</si>
  <si>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</si>
  <si>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</si>
  <si>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</si>
  <si>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</si>
  <si>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</si>
  <si>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</si>
  <si>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</si>
  <si>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</si>
  <si>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</si>
  <si>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</si>
  <si>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</si>
  <si>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</si>
  <si>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</si>
  <si>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</si>
  <si>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</si>
  <si>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</si>
  <si>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</si>
  <si>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</si>
  <si>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</si>
  <si>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</si>
  <si>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</si>
  <si>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</si>
  <si>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</si>
  <si>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</si>
  <si>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</si>
  <si>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</si>
  <si>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</si>
  <si>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</si>
  <si>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</si>
  <si>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</si>
  <si>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</si>
  <si>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</si>
  <si>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</si>
  <si>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</si>
  <si>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</si>
  <si>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</si>
  <si>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</si>
  <si>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</si>
  <si>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</si>
  <si>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</si>
  <si>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</si>
  <si>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</si>
  <si>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</si>
  <si>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</si>
  <si>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</si>
  <si>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</si>
  <si>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</si>
  <si>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</si>
  <si>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</si>
  <si>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</si>
  <si>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</si>
  <si>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</si>
  <si>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</si>
  <si>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</si>
  <si>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</si>
  <si>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</si>
  <si>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</si>
  <si>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</si>
  <si>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</si>
  <si>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</si>
  <si>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</si>
  <si>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</si>
  <si>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</si>
  <si>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</si>
  <si>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</si>
  <si>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</si>
  <si>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</si>
  <si>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</si>
  <si>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</si>
  <si>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</si>
  <si>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</si>
  <si>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</si>
  <si>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</si>
  <si>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</si>
  <si>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</si>
  <si>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</si>
  <si>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</si>
  <si>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</si>
  <si>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</si>
  <si>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</si>
  <si>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</si>
  <si>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</si>
  <si>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</si>
  <si>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</si>
  <si>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</si>
  <si>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</si>
  <si>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</si>
  <si>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</si>
  <si>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</si>
  <si>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</si>
  <si>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</si>
  <si>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</si>
  <si>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</si>
  <si>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</si>
  <si>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</si>
  <si>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</si>
  <si>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</si>
  <si>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</si>
  <si>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</si>
  <si>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</si>
  <si>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</si>
  <si>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</si>
  <si>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</si>
  <si>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</si>
  <si>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</si>
  <si>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</si>
  <si>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</si>
  <si>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</si>
  <si>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</si>
  <si>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</si>
  <si>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</si>
  <si>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</si>
  <si>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</si>
  <si>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</si>
  <si>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</si>
  <si>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</si>
  <si>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</si>
  <si>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</si>
  <si>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</si>
  <si>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</si>
  <si>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</si>
  <si>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</si>
  <si>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</si>
  <si>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</si>
  <si>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</si>
  <si>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</si>
  <si>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</si>
  <si>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</si>
  <si>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</si>
  <si>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</si>
  <si>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</si>
  <si>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</si>
  <si>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</si>
  <si>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</si>
  <si>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</si>
  <si>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</si>
  <si>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</si>
  <si>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</si>
  <si>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</si>
  <si>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</si>
  <si>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</si>
  <si>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</si>
  <si>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</si>
  <si>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</si>
  <si>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</si>
  <si>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</si>
  <si>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</si>
  <si>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</si>
  <si>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</si>
  <si>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</si>
  <si>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</si>
  <si>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</si>
  <si>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</si>
  <si>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</si>
  <si>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</si>
  <si>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</si>
  <si>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</si>
  <si>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</si>
  <si>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</si>
  <si>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</si>
  <si>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</si>
  <si>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</si>
  <si>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</si>
  <si>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</si>
  <si>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</si>
  <si>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</si>
  <si>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</si>
  <si>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</si>
  <si>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</si>
  <si>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</si>
  <si>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</si>
  <si>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</si>
  <si>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</si>
  <si>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</si>
  <si>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</si>
  <si>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</si>
  <si>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</si>
  <si>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</si>
  <si>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</si>
  <si>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</si>
  <si>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</si>
  <si>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</si>
  <si>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</si>
  <si>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</si>
  <si>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</si>
  <si>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</si>
  <si>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</si>
  <si>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</si>
  <si>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</si>
  <si>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</si>
  <si>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</si>
  <si>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</si>
  <si>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</si>
  <si>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</si>
  <si>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</si>
  <si>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</si>
  <si>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</si>
  <si>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</si>
  <si>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</si>
  <si>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</si>
  <si>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</si>
  <si>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</si>
  <si>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</si>
  <si>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</si>
  <si>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</si>
  <si>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</si>
  <si>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</si>
  <si>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</si>
  <si>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</si>
  <si>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</si>
  <si>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</si>
  <si>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</si>
  <si>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</si>
  <si>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</si>
  <si>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</si>
  <si>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</si>
  <si>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</si>
  <si>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</si>
  <si>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</si>
  <si>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</si>
  <si>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</si>
  <si>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</si>
  <si>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</si>
  <si>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</si>
  <si>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</si>
  <si>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</si>
  <si>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</si>
  <si>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</si>
  <si>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</si>
  <si>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</si>
  <si>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</si>
  <si>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</si>
  <si>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</si>
  <si>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</si>
  <si>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</si>
  <si>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</si>
  <si>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</si>
  <si>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</si>
  <si>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</si>
  <si>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</si>
  <si>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</si>
  <si>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</si>
  <si>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</si>
  <si>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</si>
  <si>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</si>
  <si>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</si>
  <si>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</si>
  <si>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</si>
  <si>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</si>
  <si>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</si>
  <si>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</si>
  <si>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</si>
  <si>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</si>
  <si>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</si>
  <si>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</si>
  <si>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</si>
  <si>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</si>
  <si>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</si>
  <si>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</si>
  <si>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</si>
  <si>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</si>
  <si>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</si>
  <si>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</si>
  <si>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</si>
  <si>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</si>
  <si>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</si>
  <si>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</si>
  <si>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</si>
  <si>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</si>
  <si>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</si>
  <si>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</si>
  <si>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</si>
  <si>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</si>
  <si>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</si>
  <si>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</si>
  <si>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</si>
  <si>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</si>
  <si>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</si>
  <si>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</si>
  <si>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</si>
  <si>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</si>
  <si>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</si>
  <si>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</si>
  <si>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</si>
  <si>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</si>
  <si>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</si>
  <si>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</si>
  <si>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</si>
  <si>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</si>
  <si>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</si>
  <si>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</si>
  <si>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</si>
  <si>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</si>
  <si>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</si>
  <si>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</si>
  <si>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</si>
  <si>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</si>
  <si>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</si>
  <si>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</si>
  <si>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</si>
  <si>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</si>
  <si>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</si>
  <si>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</si>
  <si>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</si>
  <si>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</si>
  <si>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</si>
  <si>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</si>
  <si>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</si>
  <si>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</si>
  <si>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</si>
  <si>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</si>
  <si>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</si>
  <si>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</si>
  <si>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</si>
  <si>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</si>
  <si>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</si>
  <si>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</si>
  <si>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</si>
  <si>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</si>
  <si>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</si>
  <si>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</si>
  <si>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</si>
  <si>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</si>
  <si>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</si>
  <si>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</si>
  <si>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</si>
  <si>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</si>
  <si>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</si>
  <si>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</si>
  <si>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</si>
  <si>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</si>
  <si>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</si>
  <si>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</si>
  <si>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</si>
  <si>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</si>
  <si>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</si>
  <si>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</si>
  <si>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</si>
  <si>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</si>
  <si>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</si>
  <si>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</si>
  <si>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</si>
  <si>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</si>
  <si>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</si>
  <si>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</si>
  <si>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</si>
  <si>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</si>
  <si>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</si>
  <si>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</si>
  <si>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</si>
  <si>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</si>
  <si>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</si>
  <si>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</si>
  <si>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</si>
  <si>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</si>
  <si>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</si>
  <si>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</si>
  <si>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</si>
  <si>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</si>
  <si>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</si>
  <si>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</si>
  <si>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</si>
  <si>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</si>
  <si>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</si>
  <si>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</si>
  <si>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</si>
  <si>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</si>
  <si>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</si>
  <si>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</si>
  <si>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</si>
  <si>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</si>
  <si>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</si>
  <si>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</si>
  <si>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</si>
  <si>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</si>
  <si>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</si>
  <si>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</si>
  <si>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</si>
  <si>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</si>
  <si>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</si>
  <si>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</si>
  <si>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</si>
  <si>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</si>
  <si>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</si>
  <si>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</si>
  <si>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</si>
  <si>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</si>
  <si>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</si>
  <si>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</si>
  <si>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</si>
  <si>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</si>
  <si>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</si>
  <si>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</si>
  <si>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</si>
  <si>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</si>
  <si>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</si>
  <si>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</si>
  <si>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</si>
  <si>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</si>
  <si>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</si>
  <si>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</si>
  <si>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</si>
  <si>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</si>
  <si>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</si>
  <si>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</si>
  <si>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</si>
  <si>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</si>
  <si>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</si>
  <si>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</si>
  <si>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</si>
  <si>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</si>
  <si>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</si>
  <si>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</si>
  <si>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</si>
  <si>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</si>
  <si>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</si>
  <si>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</si>
  <si>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</si>
  <si>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</si>
  <si>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</si>
  <si>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</si>
  <si>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</si>
  <si>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</si>
  <si>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</si>
  <si>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</si>
  <si>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</si>
  <si>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</si>
  <si>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</si>
  <si>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</si>
  <si>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</si>
  <si>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</si>
  <si>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</si>
  <si>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</si>
  <si>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</si>
  <si>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</si>
  <si>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</si>
  <si>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</si>
  <si>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</si>
  <si>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</si>
  <si>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</si>
  <si>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</si>
  <si>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</si>
  <si>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</si>
  <si>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</si>
  <si>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</si>
  <si>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</si>
  <si>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</si>
  <si>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</si>
  <si>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</si>
  <si>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</si>
  <si>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</si>
  <si>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</si>
  <si>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</si>
  <si>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</si>
  <si>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</si>
  <si>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</si>
  <si>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</si>
  <si>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</si>
  <si>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</si>
  <si>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</si>
  <si>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</si>
  <si>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</si>
  <si>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</si>
  <si>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</si>
  <si>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</si>
  <si>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</si>
  <si>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</si>
  <si>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</si>
  <si>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</si>
  <si>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</si>
  <si>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</si>
  <si>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</si>
  <si>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</si>
  <si>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</si>
  <si>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</si>
  <si>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</si>
  <si>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</si>
  <si>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</si>
  <si>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</si>
  <si>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</si>
  <si>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</si>
  <si>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</si>
  <si>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</si>
  <si>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</si>
  <si>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</si>
  <si>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</si>
  <si>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</si>
  <si>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</si>
  <si>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</si>
  <si>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</si>
  <si>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</si>
  <si>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</si>
  <si>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</si>
  <si>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</si>
  <si>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</si>
  <si>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</si>
  <si>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</si>
  <si>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</si>
  <si>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</si>
  <si>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</si>
  <si>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</si>
  <si>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</si>
  <si>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</si>
  <si>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</si>
  <si>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</si>
  <si>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</si>
  <si>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</si>
  <si>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</si>
  <si>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</si>
  <si>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</si>
  <si>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</si>
  <si>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</si>
  <si>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</si>
  <si>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</si>
  <si>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</si>
  <si>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</si>
  <si>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</si>
  <si>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</si>
  <si>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</si>
  <si>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</si>
  <si>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</si>
  <si>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</si>
  <si>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</si>
  <si>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</si>
  <si>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</si>
  <si>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</si>
  <si>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</si>
  <si>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</si>
  <si>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</si>
  <si>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</si>
  <si>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</si>
  <si>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</si>
  <si>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</si>
  <si>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</si>
  <si>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</si>
  <si>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</si>
  <si>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</si>
  <si>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</si>
  <si>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</si>
  <si>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</si>
  <si>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</si>
  <si>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</si>
  <si>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</si>
  <si>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</si>
  <si>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</si>
  <si>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</si>
  <si>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</si>
  <si>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</si>
  <si>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</si>
  <si>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</si>
  <si>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</si>
  <si>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</si>
  <si>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</si>
  <si>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</si>
  <si>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</si>
  <si>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</si>
  <si>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</si>
  <si>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</si>
  <si>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</si>
  <si>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</si>
  <si>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</si>
  <si>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</si>
  <si>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</si>
  <si>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</si>
  <si>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</si>
  <si>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</si>
  <si>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</si>
  <si>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</si>
  <si>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</si>
  <si>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</si>
  <si>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</si>
  <si>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</si>
  <si>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</si>
  <si>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</si>
  <si>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</si>
  <si>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</si>
  <si>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</si>
  <si>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</si>
  <si>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</si>
  <si>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</si>
  <si>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</si>
  <si>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</si>
  <si>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</si>
  <si>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</si>
  <si>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</si>
  <si>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</si>
  <si>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</si>
  <si>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</si>
  <si>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</si>
  <si>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</si>
  <si>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</si>
  <si>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</si>
  <si>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</si>
  <si>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</si>
  <si>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</si>
  <si>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</si>
  <si>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</si>
  <si>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</si>
  <si>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</si>
  <si>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</si>
  <si>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</si>
  <si>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</si>
  <si>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</si>
  <si>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</si>
  <si>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</si>
  <si>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</si>
  <si>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</si>
  <si>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</si>
  <si>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</si>
  <si>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</si>
  <si>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</si>
  <si>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</si>
  <si>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</si>
  <si>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</si>
  <si>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</si>
  <si>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</si>
  <si>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</si>
  <si>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</si>
  <si>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</si>
  <si>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</si>
  <si>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</si>
  <si>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</si>
  <si>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</si>
  <si>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</si>
  <si>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</si>
  <si>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</si>
  <si>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</si>
  <si>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</si>
  <si>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</si>
  <si>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</si>
  <si>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</si>
  <si>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</si>
  <si>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</si>
  <si>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</si>
  <si>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</si>
  <si>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</si>
  <si>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</si>
  <si>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</si>
  <si>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</si>
  <si>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</si>
  <si>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</si>
  <si>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</si>
  <si>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</si>
  <si>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</si>
  <si>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</si>
  <si>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</si>
  <si>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</si>
  <si>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</si>
  <si>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</si>
  <si>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</si>
  <si>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</si>
  <si>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</si>
  <si>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</si>
  <si>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</si>
  <si>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</si>
  <si>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</si>
  <si>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</si>
  <si>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</si>
  <si>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</si>
  <si>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</si>
  <si>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</si>
  <si>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</si>
  <si>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</si>
  <si>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</si>
  <si>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</si>
  <si>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</si>
  <si>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</si>
  <si>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</si>
  <si>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</si>
  <si>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</si>
  <si>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</si>
  <si>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</si>
  <si>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</si>
  <si>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</si>
  <si>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</si>
  <si>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</si>
  <si>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</si>
  <si>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</si>
  <si>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</si>
  <si>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</si>
  <si>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</si>
  <si>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</si>
  <si>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</si>
  <si>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</si>
  <si>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</si>
  <si>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</si>
  <si>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</si>
  <si>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</si>
  <si>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</si>
  <si>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</si>
  <si>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</si>
  <si>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</si>
  <si>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</si>
  <si>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</si>
  <si>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</si>
  <si>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</si>
  <si>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</si>
  <si>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</si>
  <si>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</si>
  <si>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</si>
  <si>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</si>
  <si>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</si>
  <si>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</si>
  <si>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</si>
  <si>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</si>
  <si>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</si>
  <si>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</si>
  <si>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</si>
  <si>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</si>
  <si>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</si>
  <si>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</si>
  <si>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</si>
  <si>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</si>
  <si>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</si>
  <si>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</si>
  <si>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</si>
  <si>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</si>
  <si>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</si>
  <si>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</si>
  <si>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</si>
  <si>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</si>
  <si>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</si>
  <si>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</si>
  <si>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</si>
  <si>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</si>
  <si>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</si>
  <si>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</si>
  <si>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</si>
  <si>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</si>
  <si>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</si>
  <si>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</si>
  <si>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</si>
  <si>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</si>
  <si>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</si>
  <si>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</si>
  <si>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</si>
  <si>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</si>
  <si>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</si>
  <si>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</si>
  <si>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</si>
  <si>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</si>
  <si>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</si>
  <si>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</si>
  <si>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</si>
  <si>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</si>
  <si>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</si>
  <si>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</si>
  <si>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</si>
  <si>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</si>
  <si>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</si>
  <si>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</si>
  <si>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</si>
  <si>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</si>
  <si>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</si>
  <si>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</si>
  <si>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</si>
  <si>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</si>
  <si>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</si>
  <si>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</si>
  <si>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</si>
  <si>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</si>
  <si>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</si>
  <si>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</si>
  <si>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</si>
  <si>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</si>
  <si>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</si>
  <si>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</si>
  <si>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</si>
  <si>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</si>
  <si>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</si>
  <si>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</si>
  <si>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</si>
  <si>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</si>
  <si>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</si>
  <si>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</si>
  <si>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</si>
  <si>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</si>
  <si>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</si>
  <si>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</si>
  <si>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</si>
  <si>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</si>
  <si>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</si>
  <si>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</si>
  <si>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</si>
  <si>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</si>
  <si>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</si>
  <si>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</si>
  <si>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</si>
  <si>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</si>
  <si>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</si>
  <si>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</si>
  <si>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</si>
  <si>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</si>
  <si>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</si>
  <si>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</si>
  <si>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</si>
  <si>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</si>
  <si>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</si>
  <si>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</si>
  <si>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</si>
  <si>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</si>
  <si>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</si>
  <si>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</si>
  <si>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</si>
  <si>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</si>
  <si>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</si>
  <si>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</si>
  <si>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</si>
  <si>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</si>
  <si>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</si>
  <si>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</si>
  <si>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</si>
  <si>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</si>
  <si>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</si>
  <si>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</si>
  <si>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</si>
  <si>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</si>
  <si>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</si>
  <si>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</si>
  <si>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</si>
  <si>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</si>
  <si>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</si>
  <si>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</si>
  <si>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</si>
  <si>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</si>
  <si>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</si>
  <si>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</si>
  <si>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</si>
  <si>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</si>
  <si>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</si>
  <si>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</si>
  <si>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</si>
  <si>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</si>
  <si>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</si>
  <si>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</si>
  <si>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</si>
  <si>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</si>
  <si>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</si>
  <si>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</si>
  <si>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</si>
  <si>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</si>
  <si>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</si>
  <si>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</si>
  <si>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</si>
  <si>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</si>
  <si>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</si>
  <si>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</si>
  <si>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</si>
  <si>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</si>
  <si>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</si>
  <si>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</si>
  <si>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</si>
  <si>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</si>
  <si>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</si>
  <si>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</si>
  <si>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</si>
  <si>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</si>
  <si>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</si>
  <si>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</si>
  <si>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</si>
  <si>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</si>
  <si>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</si>
  <si>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</si>
  <si>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</si>
  <si>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</si>
  <si>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</si>
  <si>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</si>
  <si>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</si>
  <si>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</si>
  <si>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</si>
  <si>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</si>
  <si>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</si>
  <si>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</si>
  <si>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</si>
  <si>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</si>
  <si>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</si>
  <si>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</si>
  <si>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</si>
  <si>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</si>
  <si>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</si>
  <si>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</si>
  <si>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</si>
  <si>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</si>
  <si>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</si>
  <si>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</si>
  <si>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</si>
  <si>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</si>
  <si>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</si>
  <si>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</si>
  <si>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</si>
  <si>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</si>
  <si>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</si>
  <si>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</si>
  <si>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</si>
  <si>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</si>
  <si>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</si>
  <si>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</si>
  <si>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</si>
  <si>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</si>
  <si>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</si>
  <si>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</si>
  <si>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</si>
  <si>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</si>
  <si>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</si>
  <si>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</si>
  <si>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</si>
  <si>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</si>
  <si>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</si>
  <si>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</si>
  <si>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</si>
  <si>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</si>
  <si>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</si>
  <si>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</si>
  <si>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</si>
  <si>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</si>
  <si>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</si>
  <si>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</si>
  <si>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</si>
  <si>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</si>
  <si>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</si>
  <si>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</si>
  <si>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</si>
  <si>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</si>
  <si>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</si>
  <si>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</si>
  <si>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</si>
  <si>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</si>
  <si>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</si>
  <si>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</si>
  <si>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</si>
  <si>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</si>
  <si>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</si>
  <si>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</si>
  <si>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</si>
  <si>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</si>
  <si>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</si>
  <si>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</si>
  <si>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</si>
  <si>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</si>
  <si>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</si>
  <si>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</si>
  <si>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</si>
  <si>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</si>
  <si>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</si>
  <si>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</si>
  <si>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</si>
  <si>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</si>
  <si>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</si>
  <si>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</si>
  <si>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</si>
  <si>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</si>
  <si>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</si>
  <si>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</si>
  <si>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</si>
  <si>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</si>
  <si>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</si>
  <si>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</si>
  <si>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</si>
  <si>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</si>
  <si>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</si>
  <si>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</si>
  <si>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</si>
  <si>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</si>
  <si>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</si>
  <si>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</si>
  <si>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</si>
  <si>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</si>
  <si>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</si>
  <si>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</si>
  <si>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</si>
  <si>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</si>
  <si>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</si>
  <si>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</si>
  <si>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</si>
  <si>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</si>
  <si>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</si>
  <si>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</si>
  <si>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</si>
  <si>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</si>
  <si>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</si>
  <si>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</si>
  <si>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</si>
  <si>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</si>
  <si>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</si>
  <si>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</si>
  <si>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</si>
  <si>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</si>
  <si>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</si>
  <si>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</si>
  <si>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</si>
  <si>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</si>
  <si>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</si>
  <si>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</si>
  <si>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</si>
  <si>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</si>
  <si>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</si>
  <si>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</si>
  <si>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</si>
  <si>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</si>
  <si>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</si>
  <si>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</si>
  <si>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</si>
  <si>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</si>
  <si>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</si>
  <si>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</si>
  <si>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</si>
  <si>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</si>
  <si>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</si>
  <si>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</si>
  <si>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</si>
  <si>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</si>
  <si>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</si>
  <si>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</si>
  <si>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</si>
  <si>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</si>
  <si>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</si>
  <si>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</si>
  <si>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</si>
  <si>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</si>
  <si>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</si>
  <si>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</si>
  <si>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</si>
  <si>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</si>
  <si>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</si>
  <si>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</si>
  <si>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</si>
  <si>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</si>
  <si>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</si>
  <si>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</si>
  <si>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</si>
  <si>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</si>
  <si>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</si>
  <si>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</si>
  <si>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</si>
  <si>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</si>
  <si>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</si>
  <si>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</si>
  <si>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</si>
  <si>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</si>
  <si>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</si>
  <si>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</si>
  <si>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</si>
  <si>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</si>
  <si>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</si>
  <si>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</si>
  <si>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</si>
  <si>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</si>
  <si>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</si>
  <si>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</si>
  <si>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</si>
  <si>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</si>
  <si>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</si>
  <si>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</si>
  <si>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</si>
  <si>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</si>
  <si>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</si>
  <si>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</si>
  <si>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</si>
  <si>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</si>
  <si>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</si>
  <si>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</si>
  <si>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</si>
  <si>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</si>
  <si>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</si>
  <si>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</si>
  <si>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</si>
  <si>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</si>
  <si>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</si>
  <si>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</si>
  <si>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</si>
  <si>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</si>
  <si>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</si>
  <si>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</si>
  <si>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</si>
  <si>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</si>
  <si>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</si>
  <si>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</si>
  <si>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</si>
  <si>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</si>
  <si>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</si>
  <si>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</si>
  <si>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</si>
  <si>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</si>
  <si>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</si>
  <si>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</si>
  <si>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</si>
  <si>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</si>
  <si>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</si>
  <si>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</si>
  <si>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</si>
  <si>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</si>
  <si>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</si>
  <si>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</si>
  <si>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</si>
  <si>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</si>
  <si>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</si>
  <si>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</si>
  <si>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</si>
  <si>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</si>
  <si>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</si>
  <si>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</si>
  <si>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</si>
  <si>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</si>
  <si>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</si>
  <si>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</si>
  <si>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</si>
  <si>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</si>
  <si>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</si>
  <si>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</si>
  <si>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</si>
  <si>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</si>
  <si>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</si>
  <si>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</si>
  <si>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</si>
  <si>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</si>
  <si>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</si>
  <si>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</si>
  <si>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</si>
  <si>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</si>
  <si>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</si>
  <si>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</si>
  <si>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</si>
  <si>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</si>
  <si>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</si>
  <si>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</si>
  <si>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</si>
  <si>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</si>
  <si>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</si>
  <si>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</si>
  <si>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</si>
  <si>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</si>
  <si>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</si>
  <si>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</si>
  <si>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</si>
  <si>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</si>
  <si>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</si>
  <si>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</si>
  <si>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</si>
  <si>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</si>
  <si>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</si>
  <si>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</si>
  <si>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</si>
  <si>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</si>
  <si>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</si>
  <si>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</si>
  <si>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</si>
  <si>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</si>
  <si>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</si>
  <si>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</si>
  <si>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</si>
  <si>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</si>
  <si>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</si>
  <si>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</si>
  <si>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</si>
  <si>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</si>
  <si>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</si>
  <si>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</si>
  <si>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</si>
  <si>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</si>
  <si>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</si>
  <si>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</si>
  <si>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</si>
  <si>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</si>
  <si>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</si>
  <si>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</si>
  <si>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</si>
  <si>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</si>
  <si>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</si>
  <si>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</si>
  <si>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</si>
  <si>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</si>
  <si>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</si>
  <si>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</si>
  <si>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</si>
  <si>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</si>
  <si>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</si>
  <si>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</si>
  <si>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</si>
  <si>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</si>
  <si>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</si>
  <si>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</si>
  <si>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</si>
  <si>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</si>
  <si>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</si>
  <si>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</si>
  <si>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</si>
  <si>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</si>
  <si>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</si>
  <si>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</si>
  <si>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</si>
  <si>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</si>
  <si>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</si>
  <si>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</si>
  <si>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</si>
  <si>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</si>
  <si>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</si>
  <si>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</si>
  <si>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</si>
  <si>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</si>
  <si>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</si>
  <si>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</si>
  <si>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</si>
  <si>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</si>
  <si>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</si>
  <si>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</si>
  <si>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</si>
  <si>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</si>
  <si>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</si>
  <si>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</si>
  <si>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</si>
  <si>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</si>
  <si>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</si>
  <si>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</si>
  <si>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</si>
  <si>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</si>
  <si>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</si>
  <si>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</si>
  <si>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</si>
  <si>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</si>
  <si>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</si>
  <si>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</si>
  <si>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</si>
  <si>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</si>
  <si>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</si>
  <si>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</si>
  <si>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</si>
  <si>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</si>
  <si>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</si>
  <si>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</si>
  <si>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</si>
  <si>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</si>
  <si>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</si>
  <si>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</si>
  <si>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</si>
  <si>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</si>
  <si>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</si>
  <si>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</si>
  <si>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</si>
  <si>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</si>
  <si>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</si>
  <si>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</si>
  <si>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</si>
  <si>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</si>
  <si>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</si>
  <si>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</si>
  <si>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</si>
  <si>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</si>
  <si>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</si>
  <si>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</si>
  <si>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</si>
  <si>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</si>
  <si>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</si>
  <si>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</si>
  <si>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</si>
  <si>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</si>
  <si>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</si>
  <si>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</si>
  <si>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</si>
  <si>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</si>
  <si>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</si>
  <si>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</si>
  <si>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</si>
  <si>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</si>
  <si>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</si>
  <si>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</si>
  <si>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</si>
  <si>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</si>
  <si>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</si>
  <si>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</si>
  <si>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</si>
  <si>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</si>
  <si>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</si>
  <si>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</si>
  <si>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</si>
  <si>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</si>
  <si>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</si>
  <si>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</si>
  <si>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</si>
  <si>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</si>
  <si>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</si>
  <si>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</si>
  <si>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</si>
  <si>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</si>
  <si>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</si>
  <si>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</si>
  <si>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</si>
  <si>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</si>
  <si>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</si>
  <si>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</si>
  <si>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</si>
  <si>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</si>
  <si>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</si>
  <si>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</si>
  <si>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</si>
  <si>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</si>
  <si>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</si>
  <si>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</si>
  <si>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</si>
  <si>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</si>
  <si>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</si>
  <si>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</si>
  <si>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</si>
  <si>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</si>
  <si>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</si>
  <si>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</si>
  <si>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</si>
  <si>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</si>
  <si>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</si>
  <si>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</si>
  <si>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</si>
  <si>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</si>
  <si>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</si>
  <si>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</si>
  <si>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</si>
  <si>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</si>
  <si>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</si>
  <si>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</si>
  <si>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</si>
  <si>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</si>
  <si>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</si>
  <si>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</si>
  <si>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</si>
  <si>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</si>
  <si>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</si>
  <si>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</si>
  <si>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</si>
  <si>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</si>
  <si>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</si>
  <si>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</si>
  <si>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</si>
  <si>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</si>
  <si>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</si>
  <si>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</si>
  <si>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</si>
  <si>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</si>
  <si>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</si>
  <si>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</si>
  <si>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</si>
  <si>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</si>
  <si>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</si>
  <si>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</si>
  <si>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</si>
  <si>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</si>
  <si>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</si>
  <si>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</si>
  <si>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</si>
  <si>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</si>
  <si>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</si>
  <si>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</si>
  <si>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</si>
  <si>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</si>
  <si>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</si>
  <si>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</si>
  <si>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</si>
  <si>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</si>
  <si>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</si>
  <si>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</si>
  <si>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</si>
  <si>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</si>
  <si>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</si>
  <si>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</si>
  <si>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</si>
  <si>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</si>
  <si>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</si>
  <si>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</si>
  <si>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</si>
  <si>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</si>
  <si>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</si>
  <si>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</si>
  <si>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</si>
  <si>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</si>
  <si>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</si>
  <si>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</si>
  <si>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</si>
  <si>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</si>
  <si>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</si>
  <si>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</si>
  <si>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</si>
  <si>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</si>
  <si>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</si>
  <si>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</si>
  <si>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</si>
  <si>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</si>
  <si>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</si>
  <si>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</si>
  <si>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</si>
  <si>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</si>
  <si>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</si>
  <si>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</si>
  <si>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</si>
  <si>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</si>
  <si>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</si>
  <si>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</si>
  <si>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</si>
  <si>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</si>
  <si>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</si>
  <si>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</si>
  <si>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</si>
  <si>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</si>
  <si>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</si>
  <si>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</si>
  <si>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</si>
  <si>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</si>
  <si>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</si>
  <si>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</si>
  <si>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</si>
  <si>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</si>
  <si>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</si>
  <si>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</si>
  <si>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</si>
  <si>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</si>
  <si>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</si>
  <si>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</si>
  <si>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</si>
  <si>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</si>
  <si>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</si>
  <si>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</si>
  <si>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</si>
  <si>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</si>
  <si>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</si>
  <si>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</si>
  <si>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</si>
  <si>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</si>
  <si>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</si>
  <si>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</si>
  <si>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</si>
  <si>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</si>
  <si>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</si>
  <si>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</si>
  <si>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</si>
  <si>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</si>
  <si>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</si>
  <si>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</si>
  <si>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</si>
  <si>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</si>
  <si>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</si>
  <si>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</si>
  <si>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</si>
  <si>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</si>
  <si>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</si>
  <si>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</si>
  <si>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</si>
  <si>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</si>
  <si>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</si>
  <si>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</si>
  <si>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</si>
  <si>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</si>
  <si>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</si>
  <si>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</si>
  <si>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</si>
  <si>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</si>
  <si>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</si>
  <si>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</si>
  <si>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</si>
  <si>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</si>
  <si>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</si>
  <si>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</si>
  <si>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</si>
  <si>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</si>
  <si>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</si>
  <si>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</si>
  <si>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</si>
  <si>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</si>
  <si>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</si>
  <si>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</si>
  <si>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</si>
  <si>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</si>
  <si>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</si>
  <si>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</si>
  <si>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</si>
  <si>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</si>
  <si>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</si>
  <si>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</si>
  <si>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</si>
  <si>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</si>
  <si>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</si>
  <si>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</si>
  <si>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</si>
  <si>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</si>
  <si>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</si>
  <si>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</si>
  <si>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</si>
  <si>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</si>
  <si>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</si>
  <si>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</si>
  <si>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</si>
  <si>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</si>
  <si>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</si>
  <si>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</si>
  <si>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</si>
  <si>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</si>
  <si>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</si>
  <si>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</si>
  <si>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</si>
  <si>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</si>
  <si>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</si>
  <si>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</si>
  <si>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</si>
  <si>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</si>
  <si>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</si>
  <si>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</si>
  <si>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</si>
  <si>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</si>
  <si>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</si>
  <si>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</si>
  <si>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</si>
  <si>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</si>
  <si>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</si>
  <si>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</si>
  <si>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</si>
  <si>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</si>
  <si>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</si>
  <si>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</si>
  <si>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</si>
  <si>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</si>
  <si>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</si>
  <si>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</si>
  <si>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</si>
  <si>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</si>
  <si>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</si>
  <si>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</si>
  <si>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</si>
  <si>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</si>
  <si>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</si>
  <si>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</si>
  <si>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</si>
  <si>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</si>
  <si>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</si>
  <si>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</si>
  <si>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</si>
  <si>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</si>
  <si>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</si>
  <si>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</si>
  <si>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</si>
  <si>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</si>
  <si>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</si>
  <si>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</si>
  <si>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</si>
  <si>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</si>
  <si>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</si>
  <si>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</si>
  <si>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</si>
  <si>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</si>
  <si>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</si>
  <si>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</si>
  <si>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</si>
  <si>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</si>
  <si>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</si>
  <si>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</si>
  <si>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</si>
  <si>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</si>
  <si>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</si>
  <si>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</si>
  <si>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</si>
  <si>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</si>
  <si>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</si>
  <si>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</si>
  <si>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</si>
  <si>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</si>
  <si>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</si>
  <si>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</si>
  <si>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</si>
  <si>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</si>
  <si>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</si>
  <si>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</si>
  <si>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</si>
  <si>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</si>
  <si>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</si>
  <si>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</si>
  <si>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</si>
  <si>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</si>
  <si>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</si>
  <si>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</si>
  <si>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</si>
  <si>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</si>
  <si>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</si>
  <si>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</si>
  <si>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</si>
  <si>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</si>
  <si>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</si>
  <si>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</si>
  <si>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</si>
  <si>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</si>
  <si>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</si>
  <si>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</si>
  <si>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</si>
  <si>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</si>
  <si>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</si>
  <si>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</si>
  <si>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</si>
  <si>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</si>
  <si>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</si>
  <si>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</si>
  <si>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</si>
  <si>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</si>
  <si>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</si>
  <si>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</si>
  <si>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</si>
  <si>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</si>
  <si>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</si>
  <si>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</si>
  <si>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</si>
  <si>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</si>
  <si>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</si>
  <si>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</si>
  <si>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</si>
  <si>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</si>
  <si>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</si>
  <si>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</si>
  <si>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</si>
  <si>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</si>
  <si>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</si>
  <si>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</si>
  <si>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</si>
  <si>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</si>
  <si>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</si>
  <si>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</si>
  <si>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</si>
  <si>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</si>
  <si>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</si>
  <si>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</si>
  <si>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</si>
  <si>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</si>
  <si>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</si>
  <si>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</si>
  <si>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</si>
  <si>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</si>
  <si>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</si>
  <si>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</si>
  <si>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</si>
  <si>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</si>
  <si>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</si>
  <si>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</si>
  <si>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</si>
  <si>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</si>
  <si>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</si>
  <si>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</si>
  <si>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</si>
  <si>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</si>
  <si>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</si>
  <si>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</si>
  <si>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</si>
  <si>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</si>
  <si>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</si>
  <si>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</si>
  <si>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</si>
  <si>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</si>
  <si>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</si>
  <si>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</si>
  <si>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</si>
  <si>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</si>
  <si>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</si>
  <si>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</si>
  <si>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</si>
  <si>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</si>
  <si>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</si>
  <si>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</si>
  <si>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</si>
  <si>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</si>
  <si>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</si>
  <si>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</si>
  <si>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</si>
  <si>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</si>
  <si>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</si>
  <si>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</si>
  <si>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</si>
  <si>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</si>
  <si>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</si>
  <si>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</si>
  <si>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</si>
  <si>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</si>
  <si>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</si>
  <si>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</si>
  <si>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</si>
  <si>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</si>
  <si>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</si>
  <si>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</si>
  <si>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</si>
  <si>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</si>
  <si>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</si>
  <si>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</si>
  <si>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</si>
  <si>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</si>
  <si>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</si>
  <si>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</si>
  <si>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</si>
  <si>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</si>
  <si>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</si>
  <si>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</si>
  <si>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</si>
  <si>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</si>
  <si>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</si>
  <si>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</si>
  <si>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</si>
  <si>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</si>
  <si>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</si>
  <si>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</si>
  <si>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</si>
  <si>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</si>
  <si>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</si>
  <si>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</si>
  <si>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</si>
  <si>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</si>
  <si>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</si>
  <si>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</si>
  <si>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</si>
  <si>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</si>
  <si>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</si>
  <si>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</si>
  <si>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</si>
  <si>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</si>
  <si>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</si>
  <si>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</si>
  <si>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</si>
  <si>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</si>
  <si>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</si>
  <si>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</si>
  <si>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</si>
  <si>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</si>
  <si>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</si>
  <si>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</si>
  <si>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</si>
  <si>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</si>
  <si>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</si>
  <si>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</si>
  <si>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</si>
  <si>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</si>
  <si>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</si>
  <si>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</si>
  <si>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</si>
  <si>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</si>
  <si>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</si>
  <si>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</si>
  <si>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</si>
  <si>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</si>
  <si>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</si>
  <si>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</si>
  <si>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</si>
  <si>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</si>
  <si>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</si>
  <si>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</si>
  <si>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</si>
  <si>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</si>
  <si>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</si>
  <si>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</si>
  <si>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</si>
  <si>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</si>
  <si>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</si>
  <si>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</si>
  <si>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</si>
  <si>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</si>
  <si>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</si>
  <si>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</si>
  <si>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</si>
  <si>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</si>
  <si>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</si>
  <si>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</si>
  <si>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</si>
  <si>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</si>
  <si>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</si>
  <si>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</si>
  <si>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</si>
  <si>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</si>
  <si>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</si>
  <si>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</si>
  <si>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</si>
  <si>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</si>
  <si>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</si>
  <si>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</si>
  <si>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</si>
  <si>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</si>
  <si>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</si>
  <si>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</si>
  <si>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</si>
  <si>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</si>
  <si>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</si>
  <si>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</si>
  <si>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</si>
  <si>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</si>
  <si>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</si>
  <si>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</si>
  <si>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</si>
  <si>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</si>
  <si>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</si>
  <si>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</si>
  <si>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</si>
  <si>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</si>
  <si>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</si>
  <si>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</si>
  <si>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</si>
  <si>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</si>
  <si>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</si>
  <si>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</si>
  <si>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</si>
  <si>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</si>
  <si>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</si>
  <si>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</si>
  <si>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</si>
  <si>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</si>
  <si>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</si>
  <si>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</si>
  <si>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</si>
  <si>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</si>
  <si>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</si>
  <si>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</si>
  <si>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</si>
  <si>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</si>
  <si>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</si>
  <si>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</si>
  <si>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</si>
  <si>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</si>
  <si>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</si>
  <si>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</si>
  <si>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</si>
  <si>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</si>
  <si>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</si>
  <si>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</si>
  <si>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</si>
  <si>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</si>
  <si>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</si>
  <si>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</si>
  <si>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</si>
  <si>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</si>
  <si>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</si>
  <si>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</si>
  <si>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</si>
  <si>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</si>
  <si>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</si>
  <si>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</si>
  <si>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</si>
  <si>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</si>
  <si>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</si>
  <si>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</si>
  <si>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</si>
  <si>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</si>
  <si>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</si>
  <si>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</si>
  <si>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</si>
  <si>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</si>
  <si>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</si>
  <si>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</si>
  <si>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</si>
  <si>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</si>
  <si>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</si>
  <si>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</si>
  <si>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</si>
  <si>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</si>
  <si>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</si>
  <si>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</si>
  <si>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</si>
  <si>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</si>
  <si>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</si>
  <si>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</si>
  <si>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</si>
  <si>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</si>
  <si>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</si>
  <si>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</si>
  <si>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</si>
  <si>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</si>
  <si>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</si>
  <si>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</si>
  <si>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</si>
  <si>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</si>
  <si>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</si>
  <si>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</si>
  <si>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</si>
  <si>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</si>
  <si>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</si>
  <si>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</si>
  <si>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</si>
  <si>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</si>
  <si>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</si>
  <si>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</si>
  <si>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</si>
  <si>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</si>
  <si>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</si>
  <si>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</si>
  <si>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</si>
  <si>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</si>
  <si>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</si>
  <si>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</si>
  <si>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</si>
  <si>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</si>
  <si>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</si>
  <si>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</si>
  <si>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</si>
  <si>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</si>
  <si>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</si>
  <si>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</si>
  <si>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</si>
  <si>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</si>
  <si>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</si>
  <si>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</si>
  <si>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</si>
  <si>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</si>
  <si>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</si>
  <si>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</si>
  <si>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</si>
  <si>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</si>
  <si>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</si>
  <si>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</si>
  <si>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</si>
  <si>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</si>
  <si>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</si>
  <si>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</si>
  <si>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</si>
  <si>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</si>
  <si>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</si>
  <si>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</si>
  <si>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</si>
  <si>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</si>
  <si>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</si>
  <si>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</si>
  <si>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</si>
  <si>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</si>
  <si>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</si>
  <si>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</si>
  <si>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</si>
  <si>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</si>
  <si>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</si>
  <si>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</si>
  <si>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</si>
  <si>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</si>
  <si>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</si>
  <si>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</si>
  <si>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</si>
  <si>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</si>
  <si>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</si>
  <si>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</si>
  <si>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</si>
  <si>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</si>
  <si>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</si>
  <si>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</si>
  <si>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</si>
  <si>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</si>
  <si>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</si>
  <si>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</si>
  <si>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</si>
  <si>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</si>
  <si>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</si>
  <si>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</si>
  <si>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</si>
  <si>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</si>
  <si>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</si>
  <si>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</si>
  <si>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</si>
  <si>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</si>
  <si>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</si>
  <si>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</si>
  <si>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</si>
  <si>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</si>
  <si>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</si>
  <si>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</si>
  <si>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</si>
  <si>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</si>
  <si>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</si>
  <si>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</si>
  <si>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</si>
  <si>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</si>
  <si>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</si>
  <si>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</si>
  <si>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</si>
  <si>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</si>
  <si>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</si>
  <si>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</si>
  <si>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</si>
  <si>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</si>
  <si>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</si>
  <si>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</si>
  <si>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</si>
  <si>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</si>
  <si>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</si>
  <si>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</si>
  <si>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</si>
  <si>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</si>
  <si>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</si>
  <si>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</si>
  <si>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</si>
  <si>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</si>
  <si>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</si>
  <si>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</si>
  <si>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</si>
  <si>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</si>
  <si>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</si>
  <si>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</si>
  <si>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</si>
  <si>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</si>
  <si>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</si>
  <si>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</si>
  <si>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</si>
  <si>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</si>
  <si>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</si>
  <si>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</si>
  <si>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</si>
  <si>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</si>
  <si>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</si>
  <si>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</si>
  <si>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</si>
  <si>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</si>
  <si>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</si>
  <si>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</si>
  <si>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</si>
  <si>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</si>
  <si>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</si>
  <si>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</si>
  <si>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</si>
  <si>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</si>
  <si>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</si>
  <si>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</si>
  <si>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</si>
  <si>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</si>
  <si>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</si>
  <si>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</si>
  <si>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</si>
  <si>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</si>
  <si>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</si>
  <si>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</si>
  <si>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</si>
  <si>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</si>
  <si>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</si>
  <si>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</si>
  <si>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</si>
  <si>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</si>
  <si>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</si>
  <si>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</si>
  <si>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</si>
  <si>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</si>
  <si>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</si>
  <si>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</si>
  <si>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</si>
  <si>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</si>
  <si>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</si>
  <si>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</si>
  <si>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</si>
  <si>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</si>
  <si>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</si>
  <si>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</si>
  <si>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</si>
  <si>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</si>
  <si>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</si>
  <si>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</si>
  <si>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</si>
  <si>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</si>
  <si>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</si>
  <si>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</si>
  <si>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</si>
  <si>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</si>
  <si>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</si>
  <si>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</si>
  <si>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</si>
  <si>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</si>
  <si>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</si>
  <si>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</si>
  <si>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</si>
  <si>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</si>
  <si>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</si>
  <si>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</si>
  <si>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</si>
  <si>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</si>
  <si>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</si>
  <si>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</si>
  <si>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</si>
  <si>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</si>
  <si>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</si>
  <si>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</si>
  <si>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</si>
  <si>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</si>
  <si>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</si>
  <si>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</si>
  <si>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</si>
  <si>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</si>
  <si>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</si>
  <si>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</si>
  <si>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</si>
  <si>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</si>
  <si>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</si>
  <si>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</si>
  <si>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</si>
  <si>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</si>
  <si>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</si>
  <si>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</si>
  <si>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</si>
  <si>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</si>
  <si>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</si>
  <si>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</si>
  <si>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</si>
  <si>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</si>
  <si>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</si>
  <si>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</si>
  <si>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</si>
  <si>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</si>
  <si>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</si>
  <si>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</si>
  <si>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</si>
  <si>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</si>
  <si>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</si>
  <si>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</si>
  <si>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</si>
  <si>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</si>
  <si>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</si>
  <si>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</si>
  <si>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</si>
  <si>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</si>
  <si>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</si>
  <si>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</si>
  <si>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</si>
  <si>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</si>
  <si>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</si>
  <si>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</si>
  <si>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</si>
  <si>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</si>
  <si>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</si>
  <si>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</si>
  <si>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</si>
  <si>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</si>
  <si>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</si>
  <si>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</si>
  <si>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</si>
  <si>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</si>
  <si>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</si>
  <si>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</si>
  <si>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</si>
  <si>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</si>
  <si>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</si>
  <si>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</si>
  <si>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</si>
  <si>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</si>
  <si>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</si>
  <si>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</si>
  <si>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</si>
  <si>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</si>
  <si>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</si>
  <si>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</si>
  <si>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</si>
  <si>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</si>
  <si>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</si>
  <si>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</si>
  <si>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</si>
  <si>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</si>
  <si>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</si>
  <si>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</si>
  <si>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</si>
  <si>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</si>
  <si>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</si>
  <si>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</si>
  <si>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</si>
  <si>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</si>
  <si>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</si>
  <si>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</si>
  <si>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</si>
  <si>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</si>
  <si>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</si>
  <si>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</si>
  <si>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</si>
  <si>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</si>
  <si>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</si>
  <si>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</si>
  <si>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</si>
  <si>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</si>
  <si>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</si>
  <si>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</si>
  <si>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</si>
  <si>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</si>
  <si>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</si>
  <si>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</si>
  <si>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</si>
  <si>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</si>
  <si>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</si>
  <si>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</si>
  <si>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</si>
  <si>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</si>
  <si>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</si>
  <si>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</si>
  <si>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</si>
  <si>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</si>
  <si>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</si>
  <si>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</si>
  <si>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</si>
  <si>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</si>
  <si>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</si>
  <si>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</si>
  <si>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</si>
  <si>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</si>
  <si>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</si>
  <si>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</si>
  <si>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</si>
  <si>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</si>
  <si>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</si>
  <si>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</si>
  <si>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</si>
  <si>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</si>
  <si>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</si>
  <si>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</si>
  <si>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</si>
  <si>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</si>
  <si>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</si>
  <si>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</si>
  <si>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</si>
  <si>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</si>
  <si>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</si>
  <si>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</si>
  <si>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</si>
  <si>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</si>
  <si>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</si>
  <si>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</si>
  <si>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</si>
  <si>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</si>
  <si>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</si>
  <si>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</si>
  <si>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</si>
  <si>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</si>
  <si>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</si>
  <si>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</si>
  <si>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</si>
  <si>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</si>
  <si>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</si>
  <si>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</si>
  <si>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</si>
  <si>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</si>
  <si>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</si>
  <si>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</si>
  <si>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</si>
  <si>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</si>
  <si>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</si>
  <si>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</si>
  <si>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</si>
  <si>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</si>
  <si>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</si>
  <si>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</si>
  <si>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</si>
  <si>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</si>
  <si>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</si>
  <si>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</si>
  <si>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</si>
  <si>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</si>
  <si>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</si>
  <si>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</si>
  <si>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</si>
  <si>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</si>
  <si>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</si>
  <si>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</si>
  <si>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</si>
  <si>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</si>
  <si>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</si>
  <si>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</si>
  <si>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</si>
  <si>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</si>
  <si>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</si>
  <si>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</si>
  <si>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</si>
  <si>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</si>
  <si>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</si>
  <si>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</si>
  <si>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</si>
  <si>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</si>
  <si>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</si>
  <si>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</si>
  <si>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</si>
  <si>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</si>
  <si>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</si>
  <si>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</si>
  <si>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</si>
  <si>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</si>
  <si>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</si>
  <si>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</si>
  <si>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</si>
  <si>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</si>
  <si>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</si>
  <si>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</si>
  <si>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</si>
  <si>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</si>
  <si>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</si>
  <si>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</si>
  <si>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</si>
  <si>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</si>
  <si>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</si>
  <si>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</si>
  <si>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</si>
  <si>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</si>
  <si>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</si>
  <si>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</si>
  <si>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</si>
  <si>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</si>
  <si>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</si>
  <si>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</si>
  <si>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</si>
  <si>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</si>
  <si>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</si>
  <si>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</si>
  <si>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</si>
  <si>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</si>
  <si>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</si>
  <si>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</si>
  <si>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</si>
  <si>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</si>
  <si>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</si>
  <si>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</si>
  <si>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</si>
  <si>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</si>
  <si>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</si>
  <si>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</si>
  <si>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</si>
  <si>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</si>
  <si>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</si>
  <si>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</si>
  <si>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</si>
  <si>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</si>
  <si>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</si>
  <si>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</si>
  <si>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</si>
  <si>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</si>
  <si>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</si>
  <si>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</si>
  <si>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</si>
  <si>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</si>
  <si>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</si>
  <si>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</si>
  <si>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</si>
  <si>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</si>
  <si>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</si>
  <si>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</si>
  <si>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</si>
  <si>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</si>
  <si>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</si>
  <si>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</si>
  <si>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</si>
  <si>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</si>
  <si>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</si>
  <si>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</si>
  <si>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</si>
  <si>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</si>
  <si>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</si>
  <si>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</si>
  <si>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</si>
  <si>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</si>
  <si>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</si>
  <si>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</si>
  <si>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</si>
  <si>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</si>
  <si>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</si>
  <si>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</si>
  <si>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</si>
  <si>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</si>
  <si>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</si>
  <si>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</si>
  <si>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</si>
  <si>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</si>
  <si>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</si>
  <si>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</si>
  <si>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</si>
  <si>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</si>
  <si>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</si>
  <si>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</si>
  <si>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</si>
  <si>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</si>
  <si>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</si>
  <si>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</si>
  <si>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</si>
  <si>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</si>
  <si>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</si>
  <si>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</si>
  <si>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</si>
  <si>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</si>
  <si>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</si>
  <si>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</si>
  <si>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</si>
  <si>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</si>
  <si>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</si>
  <si>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</si>
  <si>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</si>
  <si>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</si>
  <si>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</si>
  <si>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</si>
  <si>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</si>
  <si>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</si>
  <si>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</si>
  <si>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</si>
  <si>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</si>
  <si>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</si>
  <si>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</si>
  <si>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</si>
  <si>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</si>
  <si>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</si>
  <si>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</si>
  <si>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</si>
  <si>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</si>
  <si>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</si>
  <si>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</si>
  <si>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</si>
  <si>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</si>
  <si>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</si>
  <si>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</si>
  <si>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</si>
  <si>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</si>
  <si>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</si>
  <si>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</si>
  <si>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</si>
  <si>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</si>
  <si>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</si>
  <si>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</si>
  <si>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</si>
  <si>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</si>
  <si>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</si>
  <si>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</si>
  <si>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</si>
  <si>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</si>
  <si>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</si>
  <si>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</si>
  <si>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</si>
  <si>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</si>
  <si>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</si>
  <si>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</si>
  <si>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</si>
  <si>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</si>
  <si>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</si>
  <si>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</si>
  <si>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</si>
  <si>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</si>
  <si>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</si>
  <si>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</si>
  <si>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</si>
  <si>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</si>
  <si>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</si>
  <si>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</si>
  <si>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</si>
  <si>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</si>
  <si>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</si>
  <si>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</si>
  <si>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</si>
  <si>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</si>
  <si>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</si>
  <si>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</si>
  <si>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</si>
  <si>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</si>
  <si>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</si>
  <si>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</si>
  <si>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</si>
  <si>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</si>
  <si>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</si>
  <si>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</si>
  <si>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</si>
  <si>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</si>
  <si>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</si>
  <si>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</si>
  <si>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</si>
  <si>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</si>
  <si>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</si>
  <si>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</si>
  <si>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</si>
  <si>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</si>
  <si>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</si>
  <si>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</si>
  <si>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</si>
  <si>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</si>
  <si>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</si>
  <si>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</si>
  <si>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</si>
  <si>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</si>
  <si>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</si>
  <si>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</si>
  <si>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</si>
  <si>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</si>
  <si>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</si>
  <si>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</si>
  <si>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</si>
  <si>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</si>
  <si>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</si>
  <si>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</si>
  <si>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</si>
  <si>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</si>
  <si>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</si>
  <si>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</si>
  <si>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</si>
  <si>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</si>
  <si>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</si>
  <si>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</si>
  <si>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</si>
  <si>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</si>
  <si>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</si>
  <si>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</si>
  <si>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</si>
  <si>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</si>
  <si>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</si>
  <si>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</si>
  <si>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</si>
  <si>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</si>
  <si>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</si>
  <si>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</si>
  <si>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</si>
  <si>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</si>
  <si>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</si>
  <si>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</si>
  <si>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</si>
  <si>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</si>
  <si>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</si>
  <si>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</si>
  <si>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</si>
  <si>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</si>
  <si>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</si>
  <si>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</si>
  <si>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</si>
  <si>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</si>
  <si>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</si>
  <si>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</si>
  <si>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</si>
  <si>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</si>
  <si>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</si>
  <si>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</si>
  <si>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</si>
  <si>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</si>
  <si>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</si>
  <si>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</si>
  <si>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</si>
  <si>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</si>
  <si>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</si>
  <si>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</si>
  <si>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</si>
  <si>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</si>
  <si>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</si>
  <si>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</si>
  <si>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</si>
  <si>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</si>
  <si>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</si>
  <si>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</si>
  <si>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</si>
  <si>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</si>
  <si>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</si>
  <si>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</si>
  <si>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</si>
  <si>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</si>
  <si>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</si>
  <si>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</si>
  <si>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</si>
  <si>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</si>
  <si>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</si>
  <si>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</si>
  <si>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</si>
  <si>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</si>
  <si>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</si>
  <si>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</si>
  <si>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</si>
  <si>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</si>
  <si>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</si>
  <si>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</si>
  <si>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</si>
  <si>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</si>
  <si>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</si>
  <si>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</si>
  <si>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</si>
  <si>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</si>
  <si>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</si>
  <si>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</si>
  <si>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</si>
  <si>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</si>
  <si>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</si>
  <si>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</si>
  <si>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</si>
  <si>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</si>
  <si>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</si>
  <si>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</si>
  <si>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</si>
  <si>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</si>
  <si>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</si>
  <si>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</si>
  <si>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</si>
  <si>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</si>
  <si>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</si>
  <si>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</si>
  <si>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</si>
  <si>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</si>
  <si>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</si>
  <si>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</si>
  <si>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</si>
  <si>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</si>
  <si>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</si>
  <si>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</si>
  <si>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</si>
  <si>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</si>
  <si>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</si>
  <si>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</si>
  <si>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</si>
  <si>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</si>
  <si>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</si>
  <si>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</si>
  <si>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</si>
  <si>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</si>
  <si>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</si>
  <si>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</si>
  <si>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</si>
  <si>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</si>
  <si>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</si>
  <si>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</si>
  <si>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</si>
  <si>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</si>
  <si>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</si>
  <si>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</si>
  <si>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</si>
  <si>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</si>
  <si>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</si>
  <si>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</si>
  <si>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</si>
  <si>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</si>
  <si>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</si>
  <si>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</si>
  <si>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</si>
  <si>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</si>
  <si>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</si>
  <si>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</si>
  <si>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</si>
  <si>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</si>
  <si>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</si>
  <si>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</si>
  <si>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</si>
  <si>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</si>
  <si>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</si>
  <si>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</si>
  <si>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</si>
  <si>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</si>
  <si>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</si>
  <si>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</si>
  <si>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</si>
  <si>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</si>
  <si>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</si>
  <si>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</si>
  <si>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</si>
  <si>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</si>
  <si>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</si>
  <si>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</si>
  <si>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</si>
  <si>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</si>
  <si>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</si>
  <si>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</si>
  <si>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</si>
  <si>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</si>
  <si>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</si>
  <si>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</si>
  <si>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</si>
  <si>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</si>
  <si>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</si>
  <si>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</si>
  <si>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</si>
  <si>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</si>
  <si>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</si>
  <si>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</si>
  <si>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</si>
  <si>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</si>
  <si>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</si>
  <si>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</si>
  <si>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</si>
  <si>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</si>
  <si>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</si>
  <si>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</si>
  <si>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</si>
  <si>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</si>
  <si>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</si>
  <si>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</si>
  <si>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</si>
  <si>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</si>
  <si>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</si>
  <si>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</si>
  <si>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</si>
  <si>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</si>
  <si>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</si>
  <si>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</si>
  <si>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</si>
  <si>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</si>
  <si>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</si>
  <si>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</si>
  <si>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</si>
  <si>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</si>
  <si>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</si>
  <si>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</si>
  <si>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</si>
  <si>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</si>
  <si>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</si>
  <si>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</si>
  <si>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</si>
  <si>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</si>
  <si>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</si>
  <si>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</si>
  <si>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</si>
  <si>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</si>
  <si>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</si>
  <si>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</si>
  <si>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</si>
  <si>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</si>
  <si>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</si>
  <si>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</si>
  <si>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</si>
  <si>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</si>
  <si>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</si>
  <si>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</si>
  <si>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</si>
  <si>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</si>
  <si>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</si>
  <si>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</si>
  <si>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</si>
  <si>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</si>
  <si>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</si>
  <si>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</si>
  <si>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</si>
  <si>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</si>
  <si>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</si>
  <si>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</si>
  <si>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</si>
  <si>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</si>
  <si>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</si>
  <si>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</si>
  <si>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</si>
  <si>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</si>
  <si>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</si>
  <si>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</si>
  <si>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</si>
  <si>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</si>
  <si>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</si>
  <si>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</si>
  <si>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</si>
  <si>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</si>
  <si>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</si>
  <si>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</si>
  <si>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</si>
  <si>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</si>
  <si>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</si>
  <si>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</si>
  <si>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</si>
  <si>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</si>
  <si>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</si>
  <si>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</si>
  <si>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</si>
  <si>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</si>
  <si>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</si>
  <si>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</si>
  <si>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</si>
  <si>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</si>
  <si>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</si>
  <si>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</si>
  <si>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</si>
  <si>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</si>
  <si>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</si>
  <si>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</si>
  <si>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</si>
  <si>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</si>
  <si>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</si>
  <si>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</si>
  <si>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</si>
  <si>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</si>
  <si>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</si>
  <si>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</si>
  <si>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</si>
  <si>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</si>
  <si>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</si>
  <si>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</si>
  <si>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</si>
  <si>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</si>
  <si>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</si>
  <si>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</si>
  <si>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</si>
  <si>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</si>
  <si>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</si>
  <si>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</si>
  <si>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</si>
  <si>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</si>
  <si>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</si>
  <si>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</si>
  <si>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</si>
  <si>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</si>
  <si>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</si>
  <si>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</si>
  <si>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</si>
  <si>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</si>
  <si>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</si>
  <si>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</si>
  <si>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</si>
  <si>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</si>
  <si>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</si>
  <si>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</si>
  <si>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</si>
  <si>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</si>
  <si>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</si>
  <si>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</si>
  <si>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</si>
  <si>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</si>
  <si>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</si>
  <si>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</si>
  <si>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</si>
  <si>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</si>
  <si>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</si>
  <si>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</si>
  <si>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</si>
  <si>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</si>
  <si>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</si>
  <si>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</si>
  <si>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</si>
  <si>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</si>
  <si>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</si>
  <si>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</si>
  <si>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</si>
  <si>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</si>
  <si>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</si>
  <si>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</si>
  <si>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</si>
  <si>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</si>
  <si>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</si>
  <si>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</si>
  <si>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</si>
  <si>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</si>
  <si>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</si>
  <si>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</si>
  <si>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</si>
  <si>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</si>
  <si>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</si>
  <si>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</si>
  <si>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</si>
  <si>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</si>
  <si>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</si>
  <si>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</si>
  <si>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</si>
  <si>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</si>
  <si>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</si>
  <si>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</si>
  <si>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</si>
  <si>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</si>
  <si>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</si>
  <si>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</si>
  <si>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</si>
  <si>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</si>
  <si>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</si>
  <si>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</si>
  <si>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</si>
  <si>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</si>
  <si>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</si>
  <si>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</si>
  <si>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</si>
  <si>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</si>
  <si>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</si>
  <si>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</si>
  <si>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</si>
  <si>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</si>
  <si>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</si>
  <si>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</si>
  <si>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</si>
  <si>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</si>
  <si>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</si>
  <si>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</si>
  <si>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</si>
  <si>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</si>
  <si>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</si>
  <si>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</si>
  <si>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</si>
  <si>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</si>
  <si>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</si>
  <si>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</si>
  <si>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</si>
  <si>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</si>
  <si>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</si>
  <si>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</si>
  <si>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</si>
  <si>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</si>
  <si>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</si>
  <si>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</si>
  <si>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</si>
  <si>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</si>
  <si>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</si>
  <si>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</si>
  <si>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</si>
  <si>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</si>
  <si>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</si>
  <si>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</si>
  <si>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</si>
  <si>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</si>
  <si>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</si>
  <si>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</si>
  <si>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</si>
  <si>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</si>
  <si>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</si>
  <si>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</si>
  <si>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</si>
  <si>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</si>
  <si>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</si>
  <si>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</si>
  <si>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</si>
  <si>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</si>
  <si>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</si>
  <si>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</si>
  <si>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</si>
  <si>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</si>
  <si>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</si>
  <si>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</si>
  <si>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</si>
  <si>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</si>
  <si>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</si>
  <si>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</si>
  <si>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</si>
  <si>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</si>
  <si>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</si>
  <si>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</si>
  <si>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</si>
  <si>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</si>
  <si>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</si>
  <si>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</si>
  <si>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</si>
  <si>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</si>
  <si>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</si>
  <si>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</si>
  <si>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</si>
  <si>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</si>
  <si>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</si>
  <si>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</si>
  <si>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</si>
  <si>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</si>
  <si>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</si>
  <si>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</si>
  <si>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</si>
  <si>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</si>
  <si>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</si>
  <si>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</si>
  <si>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</si>
  <si>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</si>
  <si>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</si>
  <si>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</si>
  <si>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</si>
  <si>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</si>
  <si>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</si>
  <si>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</si>
  <si>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</si>
  <si>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</si>
  <si>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</si>
  <si>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</si>
  <si>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</si>
  <si>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</si>
  <si>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</si>
  <si>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</si>
  <si>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</si>
  <si>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</si>
  <si>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</si>
  <si>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</si>
  <si>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</si>
  <si>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</si>
  <si>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</si>
  <si>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</si>
  <si>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</si>
  <si>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</si>
  <si>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</si>
  <si>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</si>
  <si>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</si>
  <si>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</si>
  <si>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</si>
  <si>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</si>
  <si>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</si>
  <si>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</si>
  <si>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</si>
  <si>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</si>
  <si>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</si>
  <si>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</si>
  <si>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</si>
  <si>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</si>
  <si>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</si>
  <si>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</si>
  <si>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</si>
  <si>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</si>
  <si>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</si>
  <si>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</si>
  <si>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</si>
  <si>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</si>
  <si>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</si>
  <si>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</si>
  <si>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</si>
  <si>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</si>
  <si>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</si>
  <si>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</si>
  <si>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</si>
  <si>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</si>
  <si>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</si>
  <si>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</si>
  <si>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</si>
  <si>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</si>
  <si>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</si>
  <si>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</si>
  <si>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</si>
  <si>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</si>
  <si>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</si>
  <si>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</si>
  <si>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</si>
  <si>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</si>
  <si>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</si>
  <si>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</si>
  <si>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</si>
  <si>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</si>
  <si>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</si>
  <si>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</si>
  <si>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</si>
  <si>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</si>
  <si>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</si>
  <si>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</si>
  <si>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</si>
  <si>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</si>
  <si>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</si>
  <si>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</si>
  <si>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</si>
  <si>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</si>
  <si>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</si>
  <si>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</si>
  <si>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</si>
  <si>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</si>
  <si>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</si>
  <si>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</si>
  <si>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</si>
  <si>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</si>
  <si>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</si>
  <si>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</si>
  <si>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</si>
  <si>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</si>
  <si>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</si>
  <si>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</si>
  <si>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</si>
  <si>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</si>
  <si>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</si>
  <si>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</si>
  <si>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</si>
  <si>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</si>
  <si>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</si>
  <si>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</si>
  <si>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</si>
  <si>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</si>
  <si>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</si>
  <si>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</si>
  <si>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</si>
  <si>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</si>
  <si>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</si>
  <si>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</si>
  <si>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</si>
  <si>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</si>
  <si>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</si>
  <si>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</si>
  <si>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</si>
  <si>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</si>
  <si>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</si>
  <si>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</si>
  <si>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</si>
  <si>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</si>
  <si>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</si>
  <si>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</si>
  <si>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</si>
  <si>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</si>
  <si>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</si>
  <si>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</si>
  <si>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</si>
  <si>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</si>
  <si>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</si>
  <si>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</si>
  <si>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</si>
  <si>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</si>
  <si>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</si>
  <si>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</si>
  <si>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</si>
  <si>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</si>
  <si>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</si>
  <si>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</si>
  <si>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</si>
  <si>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</si>
  <si>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</si>
  <si>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</si>
  <si>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</si>
  <si>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</si>
  <si>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</si>
  <si>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</si>
  <si>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</si>
  <si>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</si>
  <si>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</si>
  <si>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</si>
  <si>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</si>
  <si>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</si>
  <si>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</si>
  <si>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</si>
  <si>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</si>
  <si>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</si>
  <si>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</si>
  <si>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</si>
  <si>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</si>
  <si>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</si>
  <si>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</si>
  <si>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</si>
  <si>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</si>
  <si>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</si>
  <si>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</si>
  <si>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</si>
  <si>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</si>
  <si>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</si>
  <si>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</si>
  <si>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</si>
  <si>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</si>
  <si>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</si>
  <si>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</si>
  <si>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</si>
  <si>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</si>
  <si>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</si>
  <si>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</si>
  <si>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</si>
  <si>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</si>
  <si>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</si>
  <si>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</si>
  <si>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</si>
  <si>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</si>
  <si>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</si>
  <si>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</si>
  <si>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</si>
  <si>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</si>
  <si>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</si>
  <si>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</si>
  <si>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</si>
  <si>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</si>
  <si>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</si>
  <si>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</si>
  <si>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</si>
  <si>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</si>
  <si>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</si>
  <si>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</si>
  <si>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</si>
  <si>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</si>
  <si>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</si>
  <si>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</si>
  <si>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</si>
  <si>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</si>
  <si>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</si>
  <si>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</si>
  <si>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</si>
  <si>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</si>
  <si>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</si>
  <si>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</si>
  <si>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</si>
  <si>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</si>
  <si>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</si>
  <si>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</si>
  <si>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</si>
  <si>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</si>
  <si>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</si>
  <si>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</si>
  <si>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</si>
  <si>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</si>
  <si>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</si>
  <si>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</si>
  <si>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</si>
  <si>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</si>
  <si>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</si>
  <si>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</si>
  <si>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</si>
  <si>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</si>
  <si>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</si>
  <si>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</si>
  <si>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</si>
  <si>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</si>
  <si>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</si>
  <si>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</si>
  <si>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</si>
  <si>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</si>
  <si>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</si>
  <si>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</si>
  <si>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</si>
  <si>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</si>
  <si>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</si>
  <si>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</si>
  <si>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</si>
  <si>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</si>
  <si>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</si>
  <si>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</si>
  <si>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</si>
  <si>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</si>
  <si>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</si>
  <si>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</si>
  <si>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</si>
  <si>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</si>
  <si>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</si>
  <si>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</si>
  <si>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</si>
  <si>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</si>
  <si>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</si>
  <si>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</si>
  <si>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</si>
  <si>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</si>
  <si>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</si>
  <si>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</si>
  <si>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</si>
  <si>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</si>
  <si>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</si>
  <si>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</si>
  <si>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</si>
  <si>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</si>
  <si>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</si>
  <si>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</si>
  <si>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</si>
  <si>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</si>
  <si>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</si>
  <si>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</si>
  <si>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</si>
  <si>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</si>
  <si>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</si>
  <si>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</si>
  <si>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</si>
  <si>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</si>
  <si>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</si>
  <si>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</si>
  <si>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</si>
  <si>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</si>
  <si>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</si>
  <si>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</si>
  <si>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</si>
  <si>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</si>
  <si>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</si>
  <si>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</si>
  <si>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</si>
  <si>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</si>
  <si>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</si>
  <si>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</si>
  <si>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</si>
  <si>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</si>
  <si>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</si>
  <si>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</si>
  <si>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</si>
  <si>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</si>
  <si>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</si>
  <si>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</si>
  <si>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</si>
  <si>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</si>
  <si>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</si>
  <si>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</si>
  <si>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</si>
  <si>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</si>
  <si>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</si>
  <si>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</si>
  <si>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</si>
  <si>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</si>
  <si>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</si>
  <si>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</si>
  <si>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</si>
  <si>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</si>
  <si>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</si>
  <si>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</si>
  <si>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</si>
  <si>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</si>
  <si>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</si>
  <si>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</si>
  <si>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</si>
  <si>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</si>
  <si>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</si>
  <si>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</si>
  <si>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</si>
  <si>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</si>
  <si>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</si>
  <si>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</si>
  <si>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</si>
  <si>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</si>
  <si>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</si>
  <si>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</si>
  <si>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</si>
  <si>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</si>
  <si>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</si>
  <si>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</si>
  <si>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</si>
  <si>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</si>
  <si>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</si>
  <si>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</si>
  <si>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</si>
  <si>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</si>
  <si>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</si>
  <si>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</si>
  <si>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</si>
  <si>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</si>
  <si>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</si>
  <si>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</si>
  <si>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</si>
  <si>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</si>
  <si>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</si>
  <si>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</si>
  <si>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</si>
  <si>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</si>
  <si>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</si>
  <si>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</si>
  <si>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</si>
  <si>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</si>
  <si>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</si>
  <si>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</si>
  <si>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</si>
  <si>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</si>
  <si>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</si>
  <si>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</si>
  <si>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</si>
  <si>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</si>
  <si>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</si>
  <si>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</si>
  <si>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</si>
  <si>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</si>
  <si>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</si>
  <si>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</si>
  <si>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</si>
  <si>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</si>
  <si>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</si>
  <si>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</si>
  <si>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</si>
  <si>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</si>
  <si>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</si>
  <si>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</si>
  <si>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</si>
  <si>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</si>
  <si>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</si>
  <si>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</si>
  <si>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</si>
  <si>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</si>
  <si>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</si>
  <si>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</si>
  <si>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</si>
  <si>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</si>
  <si>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</si>
  <si>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</si>
  <si>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</si>
  <si>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</si>
  <si>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</si>
  <si>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</si>
  <si>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</si>
  <si>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</si>
  <si>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</si>
  <si>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</si>
  <si>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</si>
  <si>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</si>
  <si>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</si>
  <si>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</si>
  <si>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</si>
  <si>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</si>
  <si>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</si>
  <si>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</si>
  <si>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</si>
  <si>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</si>
  <si>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</si>
  <si>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</si>
  <si>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</si>
  <si>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</si>
  <si>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</si>
  <si>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</si>
  <si>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</si>
  <si>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</si>
  <si>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</si>
  <si>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</si>
  <si>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</si>
  <si>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</si>
  <si>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</si>
  <si>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</si>
  <si>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</si>
  <si>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</si>
  <si>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</si>
  <si>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</si>
  <si>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</si>
  <si>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</si>
  <si>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</si>
  <si>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</si>
  <si>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</si>
  <si>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</si>
  <si>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</si>
  <si>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</si>
  <si>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</si>
  <si>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</si>
  <si>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</si>
  <si>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</si>
  <si>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</si>
  <si>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</si>
  <si>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</si>
  <si>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</si>
  <si>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</si>
  <si>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</si>
  <si>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</si>
  <si>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</si>
  <si>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</si>
  <si>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</si>
  <si>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</si>
  <si>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</si>
  <si>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</si>
  <si>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</si>
  <si>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</si>
  <si>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</si>
  <si>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</si>
  <si>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</si>
  <si>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</si>
  <si>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</si>
  <si>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</si>
  <si>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</si>
  <si>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</si>
  <si>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</si>
  <si>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</si>
  <si>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</si>
  <si>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</si>
  <si>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</si>
  <si>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</si>
  <si>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</si>
  <si>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</si>
  <si>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</si>
  <si>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</si>
  <si>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</si>
  <si>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</si>
  <si>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</si>
  <si>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</si>
  <si>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</si>
  <si>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</si>
  <si>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</si>
  <si>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</si>
  <si>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</si>
  <si>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</si>
  <si>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</si>
  <si>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</si>
  <si>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</si>
  <si>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</si>
  <si>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</si>
  <si>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</si>
  <si>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</si>
  <si>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</si>
  <si>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</si>
  <si>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</si>
  <si>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</si>
  <si>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</si>
  <si>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</si>
  <si>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</si>
  <si>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</si>
  <si>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</si>
  <si>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</si>
  <si>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</si>
  <si>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</si>
  <si>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</si>
  <si>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</si>
  <si>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</si>
  <si>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</si>
  <si>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</si>
  <si>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</si>
  <si>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</si>
  <si>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</si>
  <si>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</si>
  <si>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</si>
  <si>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</si>
  <si>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</si>
  <si>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</si>
  <si>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</si>
  <si>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</si>
  <si>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</si>
  <si>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</si>
  <si>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</si>
  <si>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</si>
  <si>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</si>
  <si>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</si>
  <si>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</si>
  <si>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</si>
  <si>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</si>
  <si>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</si>
  <si>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</si>
  <si>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</si>
  <si>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</si>
  <si>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</si>
  <si>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</si>
  <si>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</si>
  <si>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</si>
  <si>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</si>
  <si>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</si>
  <si>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</si>
  <si>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</si>
  <si>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</si>
  <si>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</si>
  <si>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</si>
  <si>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</si>
  <si>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</si>
  <si>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</si>
  <si>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</si>
  <si>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</si>
  <si>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</si>
  <si>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</si>
  <si>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</si>
  <si>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</si>
  <si>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</si>
  <si>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</si>
  <si>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</si>
  <si>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</si>
  <si>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</si>
  <si>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</si>
  <si>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</si>
  <si>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</si>
  <si>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</si>
  <si>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</si>
  <si>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</si>
  <si>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</si>
  <si>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</si>
  <si>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</si>
  <si>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</si>
  <si>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</si>
  <si>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</si>
  <si>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</si>
  <si>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</si>
  <si>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</si>
  <si>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</si>
  <si>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</si>
  <si>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</si>
  <si>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</si>
  <si>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</si>
  <si>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</si>
  <si>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</si>
  <si>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</si>
  <si>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</si>
  <si>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</si>
  <si>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</si>
  <si>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</si>
  <si>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</si>
  <si>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</si>
  <si>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</si>
  <si>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</si>
  <si>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</si>
  <si>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</si>
  <si>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</si>
  <si>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</si>
  <si>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</si>
  <si>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</si>
  <si>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</si>
  <si>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</si>
  <si>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</si>
  <si>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</si>
  <si>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</si>
  <si>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</si>
  <si>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</si>
  <si>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</si>
  <si>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</si>
  <si>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</si>
  <si>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</si>
  <si>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</si>
  <si>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</si>
  <si>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</si>
  <si>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</si>
  <si>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</si>
  <si>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</si>
  <si>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</si>
  <si>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</si>
  <si>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</si>
  <si>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</si>
  <si>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</si>
  <si>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</si>
  <si>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</si>
  <si>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</si>
  <si>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</si>
  <si>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</si>
  <si>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</si>
  <si>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</si>
  <si>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</si>
  <si>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</si>
  <si>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</si>
  <si>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</si>
  <si>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</si>
  <si>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</si>
  <si>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</si>
  <si>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</si>
  <si>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</si>
  <si>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</si>
  <si>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</si>
  <si>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</si>
  <si>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</si>
  <si>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</si>
  <si>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</si>
  <si>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</si>
  <si>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</si>
  <si>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</si>
  <si>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</si>
  <si>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</si>
  <si>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</si>
  <si>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</si>
  <si>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</si>
  <si>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</si>
  <si>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</si>
  <si>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</si>
  <si>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</si>
  <si>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</si>
  <si>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</si>
  <si>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</si>
  <si>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</si>
  <si>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</si>
  <si>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</si>
  <si>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</si>
  <si>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</si>
  <si>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</si>
  <si>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</si>
  <si>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</si>
  <si>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</si>
  <si>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</si>
  <si>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</si>
  <si>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</si>
  <si>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</si>
  <si>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</si>
  <si>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</si>
  <si>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</si>
  <si>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</si>
  <si>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</si>
  <si>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</si>
  <si>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</si>
  <si>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</si>
  <si>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</si>
  <si>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</si>
  <si>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</si>
  <si>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</si>
  <si>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</si>
  <si>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</si>
  <si>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</si>
  <si>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</si>
  <si>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</si>
  <si>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</si>
  <si>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</si>
  <si>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</si>
  <si>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</si>
  <si>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</si>
  <si>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</si>
  <si>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</si>
  <si>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</si>
  <si>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</si>
  <si>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</si>
  <si>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</si>
  <si>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</si>
  <si>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</si>
  <si>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</si>
  <si>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</si>
  <si>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</si>
  <si>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</si>
  <si>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</si>
  <si>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</si>
  <si>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</si>
  <si>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</si>
  <si>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</si>
  <si>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</si>
  <si>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</si>
  <si>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</si>
  <si>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</si>
  <si>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</si>
  <si>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</si>
  <si>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</si>
  <si>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</si>
  <si>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</si>
  <si>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</si>
  <si>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</si>
  <si>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</si>
  <si>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</si>
  <si>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</si>
  <si>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</si>
  <si>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</si>
  <si>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</si>
  <si>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</si>
  <si>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</si>
  <si>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</si>
  <si>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</si>
  <si>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</si>
  <si>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</si>
  <si>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</si>
  <si>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</si>
  <si>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</si>
  <si>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</si>
  <si>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</si>
  <si>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</si>
  <si>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</si>
  <si>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</si>
  <si>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</si>
  <si>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</si>
  <si>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</si>
  <si>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</si>
  <si>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</si>
  <si>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</si>
  <si>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</si>
  <si>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</si>
  <si>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</si>
  <si>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</si>
  <si>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</si>
  <si>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</si>
  <si>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</si>
  <si>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</si>
  <si>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</si>
  <si>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</si>
  <si>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</si>
  <si>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</si>
  <si>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</si>
  <si>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</si>
  <si>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</si>
  <si>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</si>
  <si>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</si>
  <si>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</si>
  <si>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</si>
  <si>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</si>
  <si>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</si>
  <si>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</si>
  <si>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</si>
  <si>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</si>
  <si>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</si>
  <si>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</si>
  <si>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</si>
  <si>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</si>
  <si>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</si>
  <si>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</si>
  <si>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</si>
  <si>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</si>
  <si>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</si>
  <si>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</si>
  <si>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</si>
  <si>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</si>
  <si>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</si>
  <si>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</si>
  <si>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</si>
  <si>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</si>
  <si>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</si>
  <si>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</si>
  <si>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</si>
  <si>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</si>
  <si>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</si>
  <si>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</si>
  <si>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</si>
  <si>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</si>
  <si>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</si>
  <si>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</si>
  <si>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</si>
  <si>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</si>
  <si>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</si>
  <si>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</si>
  <si>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</si>
  <si>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</si>
  <si>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</si>
  <si>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</si>
  <si>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</si>
  <si>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</si>
  <si>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</si>
  <si>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</si>
  <si>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</si>
  <si>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</si>
  <si>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</si>
  <si>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</si>
  <si>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</si>
  <si>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</si>
  <si>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</si>
  <si>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</si>
  <si>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</si>
  <si>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</si>
  <si>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</si>
  <si>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</si>
  <si>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</si>
  <si>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</si>
  <si>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</si>
  <si>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</si>
  <si>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</si>
  <si>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</si>
  <si>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</si>
  <si>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</si>
  <si>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</si>
  <si>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</si>
  <si>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</si>
  <si>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</si>
  <si>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</si>
  <si>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</si>
  <si>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</si>
  <si>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</si>
  <si>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</si>
  <si>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</si>
  <si>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</si>
  <si>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</si>
  <si>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</si>
  <si>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</si>
  <si>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</si>
  <si>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</si>
  <si>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</si>
  <si>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</si>
  <si>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</si>
  <si>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</si>
  <si>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</si>
  <si>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</si>
  <si>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</si>
  <si>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</si>
  <si>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</si>
  <si>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</si>
  <si>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</si>
  <si>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</si>
  <si>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</si>
  <si>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</si>
  <si>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</si>
  <si>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</si>
  <si>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</si>
  <si>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</si>
  <si>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</si>
  <si>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</si>
  <si>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</si>
  <si>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</si>
  <si>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</si>
  <si>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</si>
  <si>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</si>
  <si>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</si>
  <si>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</si>
  <si>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</si>
  <si>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</si>
  <si>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</si>
  <si>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</si>
  <si>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</si>
  <si>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</si>
  <si>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</si>
  <si>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</si>
  <si>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</si>
  <si>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</si>
  <si>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</si>
  <si>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</si>
  <si>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</si>
  <si>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</si>
  <si>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</si>
  <si>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</si>
  <si>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</si>
  <si>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</si>
  <si>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</si>
  <si>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</si>
  <si>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</si>
  <si>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</si>
  <si>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</si>
  <si>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</si>
  <si>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</si>
  <si>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</si>
  <si>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</si>
  <si>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</si>
  <si>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</si>
  <si>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</si>
  <si>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</si>
  <si>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</si>
  <si>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</si>
  <si>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</si>
  <si>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</si>
  <si>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</si>
  <si>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</si>
  <si>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</si>
  <si>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</si>
  <si>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</si>
  <si>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</si>
  <si>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</si>
  <si>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</si>
  <si>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</si>
  <si>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</si>
  <si>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</si>
  <si>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</si>
  <si>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</si>
  <si>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</si>
  <si>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</si>
  <si>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</si>
  <si>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</si>
  <si>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</si>
  <si>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</si>
  <si>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</si>
  <si>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</si>
  <si>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</si>
  <si>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</si>
  <si>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</si>
  <si>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</si>
  <si>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</si>
  <si>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</si>
  <si>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</si>
  <si>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</si>
  <si>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</si>
  <si>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</si>
  <si>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</si>
  <si>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</si>
  <si>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</si>
  <si>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</si>
  <si>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</si>
  <si>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</si>
  <si>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</si>
  <si>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</si>
  <si>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</si>
  <si>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</si>
  <si>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</si>
  <si>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</si>
  <si>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</si>
  <si>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</si>
  <si>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</si>
  <si>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</si>
  <si>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</si>
  <si>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</si>
  <si>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</si>
  <si>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</si>
  <si>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</si>
  <si>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</si>
  <si>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</si>
  <si>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</si>
  <si>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</si>
  <si>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</si>
  <si>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</si>
  <si>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</si>
  <si>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</si>
  <si>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</si>
  <si>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</si>
  <si>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</si>
  <si>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</si>
  <si>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</si>
  <si>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</si>
  <si>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</si>
  <si>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</si>
  <si>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</si>
  <si>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</si>
  <si>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</si>
  <si>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</si>
  <si>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</si>
  <si>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</si>
  <si>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</si>
  <si>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</si>
  <si>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</si>
  <si>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</si>
  <si>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</si>
  <si>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</si>
  <si>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</si>
  <si>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</si>
  <si>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</si>
  <si>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</si>
  <si>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</si>
  <si>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</si>
  <si>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</si>
  <si>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</si>
  <si>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</si>
  <si>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</si>
  <si>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</si>
  <si>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</si>
  <si>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</si>
  <si>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</si>
  <si>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</si>
  <si>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</si>
  <si>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</si>
  <si>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</si>
  <si>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</si>
  <si>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</si>
  <si>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</si>
  <si>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</si>
  <si>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</si>
  <si>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</si>
  <si>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</si>
  <si>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</si>
  <si>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</si>
  <si>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</si>
  <si>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</si>
  <si>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</si>
  <si>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</si>
  <si>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</si>
  <si>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</si>
  <si>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</si>
  <si>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</si>
  <si>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</si>
  <si>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</si>
  <si>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</si>
  <si>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</si>
  <si>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</si>
  <si>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</si>
  <si>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</si>
  <si>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</si>
  <si>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</si>
  <si>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</si>
  <si>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</si>
  <si>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</si>
  <si>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</si>
  <si>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</si>
  <si>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</si>
  <si>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</si>
  <si>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</si>
  <si>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</si>
  <si>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</si>
  <si>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</si>
  <si>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</si>
  <si>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</si>
  <si>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</si>
  <si>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</si>
  <si>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</si>
  <si>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</si>
  <si>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</si>
  <si>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</si>
  <si>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</si>
  <si>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</si>
  <si>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</si>
  <si>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</si>
  <si>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</si>
  <si>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</si>
  <si>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</si>
  <si>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</si>
  <si>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</si>
  <si>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</si>
  <si>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</si>
  <si>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</si>
  <si>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</si>
  <si>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</si>
  <si>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</si>
  <si>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</si>
  <si>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</si>
  <si>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</si>
  <si>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</si>
  <si>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</si>
  <si>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</si>
  <si>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</si>
  <si>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</si>
  <si>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</si>
  <si>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</si>
  <si>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</si>
  <si>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</si>
  <si>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</si>
  <si>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</si>
  <si>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</si>
  <si>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</si>
  <si>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</si>
  <si>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</si>
  <si>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</si>
  <si>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</si>
  <si>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</si>
  <si>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</si>
  <si>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</si>
  <si>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</si>
  <si>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</si>
  <si>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</si>
  <si>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</si>
  <si>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</si>
  <si>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</si>
  <si>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</si>
  <si>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</si>
  <si>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</si>
  <si>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</si>
  <si>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</si>
  <si>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</si>
  <si>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</si>
  <si>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</si>
  <si>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</si>
  <si>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</si>
  <si>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</si>
  <si>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</si>
  <si>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</si>
  <si>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</si>
  <si>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</si>
  <si>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</si>
  <si>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</si>
  <si>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</si>
  <si>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</si>
  <si>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</si>
  <si>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</si>
  <si>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</si>
  <si>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</si>
  <si>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</si>
  <si>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</si>
  <si>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</si>
  <si>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</si>
  <si>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</si>
  <si>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</si>
  <si>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</si>
  <si>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</si>
  <si>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</si>
  <si>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</si>
  <si>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</si>
  <si>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</si>
  <si>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</si>
  <si>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</si>
  <si>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</si>
  <si>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</si>
  <si>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</si>
  <si>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</si>
  <si>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</si>
  <si>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</si>
  <si>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</si>
  <si>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</si>
  <si>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</si>
  <si>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</si>
  <si>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</si>
  <si>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</si>
  <si>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</si>
  <si>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</si>
  <si>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</si>
  <si>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</si>
  <si>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</si>
  <si>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</si>
  <si>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</si>
  <si>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</si>
  <si>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</si>
  <si>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</si>
  <si>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</si>
  <si>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</si>
  <si>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</si>
  <si>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</si>
  <si>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</si>
  <si>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</si>
  <si>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</si>
  <si>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</si>
  <si>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</si>
  <si>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</si>
  <si>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</si>
  <si>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</si>
  <si>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</si>
  <si>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</si>
  <si>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</si>
  <si>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</si>
  <si>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</si>
  <si>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</si>
  <si>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</si>
  <si>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</si>
  <si>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</si>
  <si>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</si>
  <si>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</si>
  <si>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</si>
  <si>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</si>
  <si>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</si>
  <si>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</si>
  <si>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</si>
  <si>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</si>
  <si>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</si>
  <si>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</si>
  <si>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</si>
  <si>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</si>
  <si>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</si>
  <si>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</si>
  <si>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</si>
  <si>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</si>
  <si>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</si>
  <si>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</si>
  <si>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</si>
  <si>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</si>
  <si>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</si>
  <si>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</si>
  <si>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</si>
  <si>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</si>
  <si>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</si>
  <si>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</si>
  <si>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</si>
  <si>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</si>
  <si>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</si>
  <si>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</si>
  <si>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</si>
  <si>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</si>
  <si>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</si>
  <si>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</si>
  <si>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</si>
  <si>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</si>
  <si>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</si>
  <si>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</si>
  <si>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</si>
  <si>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</si>
  <si>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</si>
  <si>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</si>
  <si>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</si>
  <si>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</si>
  <si>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</si>
  <si>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</si>
  <si>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</si>
  <si>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</si>
  <si>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</si>
  <si>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</si>
  <si>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</si>
  <si>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</si>
  <si>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</si>
  <si>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</si>
  <si>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</si>
  <si>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</si>
  <si>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</si>
  <si>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</si>
  <si>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</si>
  <si>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</si>
  <si>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</si>
  <si>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</si>
  <si>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</si>
  <si>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</si>
  <si>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</si>
  <si>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</si>
  <si>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</si>
  <si>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</si>
  <si>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</si>
  <si>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</si>
  <si>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</si>
  <si>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</si>
  <si>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</si>
  <si>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</si>
  <si>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</si>
  <si>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</si>
  <si>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</si>
  <si>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</si>
  <si>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</si>
  <si>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</si>
  <si>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</si>
  <si>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</si>
  <si>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</si>
  <si>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</si>
  <si>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</si>
  <si>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</si>
  <si>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</si>
  <si>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</si>
  <si>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</si>
  <si>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</si>
  <si>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</si>
  <si>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</si>
  <si>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</si>
  <si>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</si>
  <si>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</si>
  <si>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</si>
  <si>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</si>
  <si>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</si>
  <si>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</si>
  <si>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</si>
  <si>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</si>
  <si>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</si>
  <si>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</si>
  <si>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</si>
  <si>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</si>
  <si>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</si>
  <si>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</si>
  <si>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</si>
  <si>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</si>
  <si>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</si>
  <si>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</si>
  <si>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</si>
  <si>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</si>
  <si>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</si>
  <si>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</si>
  <si>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</si>
  <si>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</si>
  <si>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</si>
  <si>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</si>
  <si>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</si>
  <si>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</si>
  <si>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</si>
  <si>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</si>
  <si>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</si>
  <si>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</si>
  <si>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</si>
  <si>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</si>
  <si>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</si>
  <si>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</si>
  <si>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</si>
  <si>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</si>
  <si>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</si>
  <si>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</si>
  <si>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</si>
  <si>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</si>
  <si>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</si>
  <si>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</si>
  <si>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</si>
  <si>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</si>
  <si>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</si>
  <si>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</si>
  <si>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</si>
  <si>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</si>
  <si>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</si>
  <si>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</si>
  <si>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</si>
  <si>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</si>
  <si>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</si>
  <si>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</si>
  <si>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</si>
  <si>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</si>
  <si>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</si>
  <si>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</si>
  <si>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</si>
  <si>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</si>
  <si>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</si>
  <si>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</si>
  <si>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</si>
  <si>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</si>
  <si>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</si>
  <si>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</si>
  <si>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</si>
  <si>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</si>
  <si>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</si>
  <si>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</si>
  <si>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</si>
  <si>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</si>
  <si>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</si>
  <si>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</si>
  <si>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</si>
  <si>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</si>
  <si>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</si>
  <si>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</si>
  <si>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</si>
  <si>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</si>
  <si>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</si>
  <si>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</si>
  <si>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</si>
  <si>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</si>
  <si>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</si>
  <si>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</si>
  <si>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</si>
  <si>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</si>
  <si>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</si>
  <si>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</si>
  <si>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</si>
  <si>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</si>
  <si>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</si>
  <si>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</si>
  <si>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</si>
  <si>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</si>
  <si>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</si>
  <si>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</si>
  <si>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</si>
  <si>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</si>
  <si>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</si>
  <si>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</si>
  <si>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</si>
  <si>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</si>
  <si>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</si>
  <si>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</si>
  <si>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</si>
  <si>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</si>
  <si>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</si>
  <si>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</si>
  <si>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</si>
  <si>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</si>
  <si>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</si>
  <si>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</si>
  <si>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</si>
  <si>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</si>
  <si>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</si>
  <si>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</si>
  <si>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</si>
  <si>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</si>
  <si>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</si>
  <si>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</si>
  <si>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</si>
  <si>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</si>
  <si>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</si>
  <si>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</si>
  <si>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</si>
  <si>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</si>
  <si>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</si>
  <si>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</si>
  <si>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</si>
  <si>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</si>
  <si>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</si>
  <si>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</si>
  <si>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</si>
  <si>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</si>
  <si>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</si>
  <si>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</si>
  <si>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</si>
  <si>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</si>
  <si>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</si>
  <si>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</si>
  <si>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</si>
  <si>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</si>
  <si>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</si>
  <si>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</si>
  <si>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</si>
  <si>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</si>
  <si>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</si>
  <si>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</si>
  <si>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</si>
  <si>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</si>
  <si>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</si>
  <si>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</si>
  <si>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</si>
  <si>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</si>
  <si>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</si>
  <si>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</si>
  <si>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</si>
  <si>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</si>
  <si>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</si>
  <si>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</si>
  <si>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</si>
  <si>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</si>
  <si>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</si>
  <si>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</si>
  <si>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</si>
  <si>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</si>
  <si>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</si>
  <si>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</si>
  <si>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</si>
  <si>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</si>
  <si>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</si>
  <si>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</si>
  <si>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</si>
  <si>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</si>
  <si>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</si>
  <si>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</si>
  <si>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</si>
  <si>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</si>
  <si>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</si>
  <si>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</si>
  <si>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</si>
  <si>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</si>
  <si>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</si>
  <si>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</si>
  <si>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</si>
  <si>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</si>
  <si>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</si>
  <si>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</si>
  <si>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</si>
  <si>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</si>
  <si>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</si>
  <si>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</si>
  <si>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</si>
  <si>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</si>
  <si>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</si>
  <si>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</si>
  <si>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</si>
  <si>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</si>
  <si>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</si>
  <si>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</si>
  <si>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</si>
  <si>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</si>
  <si>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</si>
  <si>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</si>
  <si>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</si>
  <si>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</si>
  <si>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</si>
  <si>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</si>
  <si>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</si>
  <si>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</si>
  <si>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</si>
  <si>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</si>
  <si>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</si>
  <si>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</si>
  <si>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</si>
  <si>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</si>
  <si>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</si>
  <si>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</si>
  <si>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</si>
  <si>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</si>
  <si>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</si>
  <si>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</si>
  <si>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</si>
  <si>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</si>
  <si>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</si>
  <si>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</si>
  <si>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</si>
  <si>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</si>
  <si>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</si>
  <si>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</si>
  <si>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</si>
  <si>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</si>
  <si>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</si>
  <si>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</si>
  <si>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</si>
  <si>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</si>
  <si>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</si>
  <si>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</si>
  <si>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</si>
  <si>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</si>
  <si>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</si>
  <si>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</si>
  <si>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</si>
  <si>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</si>
  <si>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</si>
  <si>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</si>
  <si>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</si>
  <si>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</si>
  <si>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</si>
  <si>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</si>
  <si>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</si>
  <si>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</si>
  <si>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</si>
  <si>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</si>
  <si>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</si>
  <si>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</si>
  <si>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</si>
  <si>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</si>
  <si>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</si>
  <si>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</si>
  <si>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</si>
  <si>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</si>
  <si>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</si>
  <si>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</si>
  <si>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</si>
  <si>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</si>
  <si>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</si>
  <si>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</si>
  <si>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</si>
  <si>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</si>
  <si>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</si>
  <si>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</si>
  <si>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</si>
  <si>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</si>
  <si>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</si>
  <si>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</si>
  <si>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</si>
  <si>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</si>
  <si>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</si>
  <si>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</si>
  <si>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</si>
  <si>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</si>
  <si>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</si>
  <si>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</si>
  <si>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</si>
  <si>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</si>
  <si>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</si>
  <si>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</si>
  <si>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</si>
  <si>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</si>
  <si>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</si>
  <si>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</si>
  <si>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</si>
  <si>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</si>
  <si>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</si>
  <si>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</si>
  <si>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</si>
  <si>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</si>
  <si>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</si>
  <si>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</si>
  <si>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</si>
  <si>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</si>
  <si>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</si>
  <si>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</si>
  <si>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</si>
  <si>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</si>
  <si>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</si>
  <si>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</si>
  <si>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</si>
  <si>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</si>
  <si>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</si>
  <si>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</si>
  <si>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</si>
  <si>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</si>
  <si>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</si>
  <si>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</si>
  <si>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</si>
  <si>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</si>
  <si>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</si>
  <si>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</si>
  <si>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</si>
  <si>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</si>
  <si>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</si>
  <si>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</si>
  <si>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</si>
  <si>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</si>
  <si>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</si>
  <si>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</si>
  <si>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</si>
  <si>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</si>
  <si>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</si>
  <si>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</si>
  <si>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</si>
  <si>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</si>
  <si>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</si>
  <si>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</si>
  <si>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</si>
  <si>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</si>
  <si>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</si>
  <si>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</si>
  <si>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</si>
  <si>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</si>
  <si>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</si>
  <si>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</si>
  <si>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</si>
  <si>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</si>
  <si>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</si>
  <si>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</si>
  <si>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</si>
  <si>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</si>
  <si>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</si>
  <si>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</si>
  <si>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</si>
  <si>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</si>
  <si>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</si>
  <si>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</si>
  <si>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</si>
  <si>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</si>
  <si>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</si>
  <si>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</si>
  <si>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</si>
  <si>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</si>
  <si>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</si>
  <si>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</si>
  <si>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</si>
  <si>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</si>
  <si>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</si>
  <si>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</si>
  <si>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</si>
  <si>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</si>
  <si>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</si>
  <si>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</si>
  <si>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</si>
  <si>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</si>
  <si>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</si>
  <si>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</si>
  <si>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</si>
  <si>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</si>
  <si>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</si>
  <si>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</si>
  <si>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</si>
  <si>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</si>
  <si>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</si>
  <si>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</si>
  <si>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</si>
  <si>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</si>
  <si>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</si>
  <si>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</si>
  <si>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</si>
  <si>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</si>
  <si>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</si>
  <si>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</si>
  <si>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</si>
  <si>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</si>
  <si>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</si>
  <si>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</si>
  <si>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</si>
  <si>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</si>
  <si>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</si>
  <si>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</si>
  <si>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</si>
  <si>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</si>
  <si>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</si>
  <si>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</si>
  <si>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</si>
  <si>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</si>
  <si>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</si>
  <si>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</si>
  <si>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</si>
  <si>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</si>
  <si>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</si>
  <si>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</si>
  <si>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</si>
  <si>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</si>
  <si>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</si>
  <si>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</si>
  <si>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</si>
  <si>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</si>
  <si>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</si>
  <si>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</si>
  <si>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</si>
  <si>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</si>
  <si>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</si>
  <si>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</si>
  <si>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</si>
  <si>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</si>
  <si>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</si>
  <si>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</si>
  <si>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</si>
  <si>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</si>
  <si>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</si>
  <si>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</si>
  <si>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</si>
  <si>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</si>
  <si>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</si>
  <si>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</si>
  <si>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</si>
  <si>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</si>
  <si>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</si>
  <si>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</si>
  <si>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</si>
  <si>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</si>
  <si>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</si>
  <si>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</si>
  <si>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</si>
  <si>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</si>
  <si>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</si>
  <si>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</si>
  <si>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</si>
  <si>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</si>
  <si>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</si>
  <si>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</si>
  <si>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</si>
  <si>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</si>
  <si>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</si>
  <si>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</si>
  <si>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</si>
  <si>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</si>
  <si>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</si>
  <si>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</si>
  <si>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</si>
  <si>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</si>
  <si>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</si>
  <si>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</si>
  <si>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</si>
  <si>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</si>
  <si>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</si>
  <si>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</si>
  <si>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</si>
  <si>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</si>
  <si>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</si>
  <si>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</si>
  <si>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</si>
  <si>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</si>
  <si>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</si>
  <si>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</si>
  <si>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</si>
  <si>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</si>
  <si>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</si>
  <si>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</si>
  <si>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</si>
  <si>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</si>
  <si>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</si>
  <si>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</si>
  <si>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</si>
  <si>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</si>
  <si>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</si>
  <si>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</si>
  <si>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</si>
  <si>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</si>
  <si>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</si>
  <si>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</si>
  <si>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</si>
  <si>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</si>
  <si>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</si>
  <si>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</si>
  <si>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</si>
  <si>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</si>
  <si>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</si>
  <si>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</si>
  <si>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</si>
  <si>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</si>
  <si>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</si>
  <si>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</si>
  <si>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</si>
  <si>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</si>
  <si>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</si>
  <si>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</si>
  <si>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</si>
  <si>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</si>
  <si>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</si>
  <si>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</si>
  <si>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</si>
  <si>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</si>
  <si>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</si>
  <si>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</si>
  <si>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</si>
  <si>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</si>
  <si>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</si>
  <si>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</si>
  <si>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</si>
  <si>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</si>
  <si>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</si>
  <si>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</si>
  <si>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</si>
  <si>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</si>
  <si>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</si>
  <si>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</si>
  <si>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</si>
  <si>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</si>
  <si>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</si>
  <si>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</si>
  <si>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</si>
  <si>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</si>
  <si>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</si>
  <si>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</si>
  <si>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</si>
  <si>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</si>
  <si>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</si>
  <si>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</si>
  <si>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</si>
  <si>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</si>
  <si>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</si>
  <si>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</si>
  <si>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</si>
  <si>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</si>
  <si>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</si>
  <si>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</si>
  <si>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</si>
  <si>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</si>
  <si>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</si>
  <si>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</si>
  <si>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</si>
  <si>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</si>
  <si>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</si>
  <si>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</si>
  <si>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</si>
  <si>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</si>
  <si>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</si>
  <si>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</si>
  <si>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</si>
  <si>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</si>
  <si>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</si>
  <si>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</si>
  <si>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</si>
  <si>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</si>
  <si>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</si>
  <si>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</si>
  <si>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</si>
  <si>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</si>
  <si>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</si>
  <si>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</si>
  <si>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</si>
  <si>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</si>
  <si>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</si>
  <si>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</si>
  <si>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</si>
  <si>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</si>
  <si>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</si>
  <si>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</si>
  <si>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</si>
  <si>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</si>
  <si>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</si>
  <si>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</si>
  <si>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</si>
  <si>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</si>
  <si>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</si>
  <si>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</si>
  <si>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</si>
  <si>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</si>
  <si>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</si>
  <si>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</si>
  <si>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</si>
  <si>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</si>
  <si>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</si>
  <si>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</si>
  <si>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</si>
  <si>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</si>
  <si>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</si>
  <si>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</si>
  <si>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</si>
  <si>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</si>
  <si>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</si>
  <si>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</si>
  <si>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</si>
  <si>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</si>
  <si>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</si>
  <si>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</si>
  <si>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</si>
  <si>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</si>
  <si>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</si>
  <si>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</si>
  <si>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</si>
  <si>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</si>
  <si>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</si>
  <si>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</si>
  <si>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</si>
  <si>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</si>
  <si>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</si>
  <si>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</si>
  <si>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</si>
  <si>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</si>
  <si>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</si>
  <si>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</si>
  <si>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</si>
  <si>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</si>
  <si>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</si>
  <si>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</si>
  <si>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</si>
  <si>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</si>
  <si>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</si>
  <si>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</si>
  <si>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</si>
  <si>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</si>
  <si>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</si>
  <si>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</si>
  <si>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</si>
  <si>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</si>
  <si>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</si>
  <si>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</si>
  <si>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</si>
  <si>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</si>
  <si>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</si>
  <si>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</si>
  <si>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</si>
  <si>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</si>
  <si>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</si>
  <si>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</si>
  <si>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</si>
  <si>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</si>
  <si>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</si>
  <si>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</si>
  <si>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</si>
  <si>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</si>
  <si>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</si>
  <si>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</si>
  <si>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</si>
  <si>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</si>
  <si>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</si>
  <si>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</si>
  <si>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</si>
  <si>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</si>
  <si>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</si>
  <si>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</si>
  <si>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</si>
  <si>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</si>
  <si>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</si>
  <si>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</si>
  <si>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</si>
  <si>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</si>
  <si>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</si>
  <si>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</si>
  <si>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</si>
  <si>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</si>
  <si>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</si>
  <si>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</si>
  <si>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</si>
  <si>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</si>
  <si>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</si>
  <si>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</si>
  <si>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</si>
  <si>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</si>
  <si>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</si>
  <si>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</si>
  <si>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</si>
  <si>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</si>
  <si>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</si>
  <si>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</si>
  <si>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</si>
  <si>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</si>
  <si>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</si>
  <si>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</si>
  <si>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</si>
  <si>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</si>
  <si>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</si>
  <si>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</si>
  <si>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</si>
  <si>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</si>
  <si>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</si>
  <si>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</si>
  <si>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</si>
  <si>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</si>
  <si>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</si>
  <si>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</si>
  <si>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</si>
  <si>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</si>
  <si>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</si>
  <si>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</si>
  <si>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</si>
  <si>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</si>
  <si>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</si>
  <si>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</si>
  <si>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</si>
  <si>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</si>
  <si>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</si>
  <si>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</si>
  <si>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</si>
  <si>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</si>
  <si>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</si>
  <si>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</si>
  <si>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</si>
  <si>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</si>
  <si>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</si>
  <si>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</si>
  <si>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</si>
  <si>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</si>
  <si>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</si>
  <si>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</si>
  <si>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</si>
  <si>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</si>
  <si>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</si>
  <si>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</si>
  <si>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</si>
  <si>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</si>
  <si>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</si>
  <si>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</si>
  <si>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</si>
  <si>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</si>
  <si>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</si>
  <si>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</si>
  <si>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</si>
  <si>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</si>
  <si>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</si>
  <si>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</si>
  <si>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</si>
  <si>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</si>
  <si>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</si>
  <si>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</si>
  <si>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</si>
  <si>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</si>
  <si>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</si>
  <si>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</si>
  <si>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</si>
  <si>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</si>
  <si>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</si>
  <si>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</si>
  <si>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</si>
  <si>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</si>
  <si>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</si>
  <si>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</si>
  <si>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</si>
  <si>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</si>
  <si>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</si>
  <si>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</si>
  <si>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</si>
  <si>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</si>
  <si>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</si>
  <si>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</si>
  <si>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</si>
  <si>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</si>
  <si>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</si>
  <si>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</si>
  <si>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</si>
  <si>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</si>
  <si>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</si>
  <si>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</si>
  <si>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</si>
  <si>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</si>
  <si>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</si>
  <si>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</si>
  <si>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</si>
  <si>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</si>
  <si>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</si>
  <si>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</si>
  <si>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</si>
  <si>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</si>
  <si>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</si>
  <si>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</si>
  <si>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</si>
  <si>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</si>
  <si>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</si>
  <si>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</si>
  <si>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</si>
  <si>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</si>
  <si>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</si>
  <si>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</si>
  <si>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</si>
  <si>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</si>
  <si>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</si>
  <si>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</si>
  <si>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</si>
  <si>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</si>
  <si>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</si>
  <si>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</si>
  <si>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</si>
  <si>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</si>
  <si>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</si>
  <si>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</si>
  <si>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</si>
  <si>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</si>
  <si>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</si>
  <si>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</si>
  <si>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</si>
  <si>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</si>
  <si>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</si>
  <si>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</si>
  <si>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</si>
  <si>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</si>
  <si>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</si>
  <si>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</si>
  <si>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</si>
  <si>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</si>
  <si>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</si>
  <si>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</si>
  <si>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</si>
  <si>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</si>
  <si>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</si>
  <si>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</si>
  <si>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</si>
  <si>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</si>
  <si>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</si>
  <si>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</si>
  <si>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</si>
  <si>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</si>
  <si>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</si>
  <si>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</si>
  <si>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</si>
  <si>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</si>
  <si>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</si>
  <si>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</si>
  <si>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</si>
  <si>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</si>
  <si>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</si>
  <si>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</si>
  <si>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</si>
  <si>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</si>
  <si>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</si>
  <si>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</si>
  <si>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</si>
  <si>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</si>
  <si>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</si>
  <si>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</si>
  <si>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</si>
  <si>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</si>
  <si>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</si>
  <si>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</si>
  <si>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</si>
  <si>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</si>
  <si>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</si>
  <si>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</si>
  <si>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</si>
  <si>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</si>
  <si>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</si>
  <si>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</si>
  <si>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</si>
  <si>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</si>
  <si>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</si>
  <si>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</si>
  <si>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</si>
  <si>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</si>
  <si>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</si>
  <si>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</si>
  <si>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</si>
  <si>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</si>
  <si>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</si>
  <si>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</si>
  <si>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</si>
  <si>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</si>
  <si>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</si>
  <si>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</si>
  <si>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</si>
  <si>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</si>
  <si>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</si>
  <si>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</si>
  <si>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</si>
  <si>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</si>
  <si>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</si>
  <si>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</si>
  <si>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</si>
  <si>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</si>
  <si>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</si>
  <si>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</si>
  <si>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</si>
  <si>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</si>
  <si>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</si>
  <si>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</si>
  <si>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</si>
  <si>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</si>
  <si>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</si>
  <si>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</si>
  <si>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</si>
  <si>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</si>
  <si>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</si>
  <si>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</si>
  <si>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</si>
  <si>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</si>
  <si>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</si>
  <si>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</si>
  <si>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</si>
  <si>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</si>
  <si>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</si>
  <si>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</si>
  <si>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</si>
  <si>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</si>
  <si>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</si>
  <si>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</si>
  <si>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</si>
  <si>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</si>
  <si>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</si>
  <si>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</si>
  <si>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</si>
  <si>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</si>
  <si>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</si>
  <si>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</si>
  <si>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</si>
  <si>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</si>
  <si>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</si>
  <si>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</si>
  <si>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</si>
  <si>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</si>
  <si>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</si>
  <si>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</si>
  <si>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</si>
  <si>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</si>
  <si>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</si>
  <si>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</si>
  <si>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</si>
  <si>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</si>
  <si>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</si>
  <si>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</si>
  <si>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</si>
  <si>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</si>
  <si>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</si>
  <si>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</si>
  <si>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</si>
  <si>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</si>
  <si>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</si>
  <si>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</si>
  <si>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</si>
  <si>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</si>
  <si>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</si>
  <si>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</si>
  <si>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</si>
  <si>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</si>
  <si>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</si>
  <si>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</si>
  <si>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</si>
  <si>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</si>
  <si>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</si>
  <si>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</si>
  <si>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</si>
  <si>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</si>
  <si>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</si>
  <si>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</si>
  <si>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</si>
  <si>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</si>
  <si>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</si>
  <si>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</si>
  <si>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</si>
  <si>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</si>
  <si>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</si>
  <si>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</si>
  <si>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</si>
  <si>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</si>
  <si>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</si>
  <si>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</si>
  <si>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</si>
  <si>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</si>
  <si>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</si>
  <si>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</si>
  <si>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</si>
  <si>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</si>
  <si>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</si>
  <si>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</si>
  <si>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</si>
  <si>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</si>
  <si>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</si>
  <si>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</si>
  <si>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</si>
  <si>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</si>
  <si>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</si>
  <si>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</si>
  <si>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</si>
  <si>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</si>
  <si>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</si>
  <si>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</si>
  <si>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</si>
  <si>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</si>
  <si>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</si>
  <si>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</si>
  <si>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</si>
  <si>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</si>
  <si>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</si>
  <si>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</si>
  <si>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</si>
  <si>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</si>
  <si>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</si>
  <si>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</si>
  <si>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</si>
  <si>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</si>
  <si>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</si>
  <si>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</si>
  <si>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</si>
  <si>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</si>
  <si>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</si>
  <si>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</si>
  <si>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</si>
  <si>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</si>
  <si>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</si>
  <si>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</si>
  <si>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</si>
  <si>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</si>
  <si>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</si>
  <si>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</si>
  <si>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</si>
  <si>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</si>
  <si>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</si>
  <si>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</si>
  <si>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</si>
  <si>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</si>
  <si>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</si>
  <si>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</si>
  <si>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</si>
  <si>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</si>
  <si>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</si>
  <si>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</si>
  <si>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</si>
  <si>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</si>
  <si>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</si>
  <si>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</si>
  <si>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</si>
  <si>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</si>
  <si>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</si>
  <si>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</si>
  <si>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</si>
  <si>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</si>
  <si>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</si>
  <si>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</si>
  <si>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</si>
  <si>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</si>
  <si>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</si>
  <si>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</si>
  <si>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</si>
  <si>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</si>
  <si>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</si>
  <si>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</si>
  <si>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</si>
  <si>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</si>
  <si>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</si>
  <si>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</si>
  <si>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</si>
  <si>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</si>
  <si>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</si>
  <si>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</si>
  <si>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</si>
  <si>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</si>
  <si>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</si>
  <si>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</si>
  <si>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</si>
  <si>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</si>
  <si>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</si>
  <si>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</si>
  <si>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</si>
  <si>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</si>
  <si>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</si>
  <si>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</si>
  <si>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</si>
  <si>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</si>
  <si>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</si>
  <si>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</si>
  <si>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</si>
  <si>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</si>
  <si>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</si>
  <si>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</si>
  <si>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</si>
  <si>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</si>
  <si>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</si>
  <si>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</si>
  <si>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</si>
  <si>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</si>
  <si>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</si>
  <si>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</si>
  <si>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</si>
  <si>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</si>
  <si>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</si>
  <si>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</si>
  <si>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</si>
  <si>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</si>
  <si>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</si>
  <si>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</si>
  <si>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</si>
  <si>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</si>
  <si>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</si>
  <si>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</si>
  <si>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</si>
  <si>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</si>
  <si>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</si>
  <si>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</si>
  <si>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</si>
  <si>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</si>
  <si>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</si>
  <si>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</si>
  <si>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</si>
  <si>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</si>
  <si>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</si>
  <si>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</si>
  <si>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</si>
  <si>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</si>
  <si>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</si>
  <si>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</si>
  <si>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</si>
  <si>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</si>
  <si>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</si>
  <si>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</si>
  <si>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</si>
  <si>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</si>
  <si>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</si>
  <si>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</si>
  <si>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</si>
  <si>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</si>
  <si>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</si>
  <si>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</si>
  <si>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</si>
  <si>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</si>
  <si>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</si>
  <si>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</si>
  <si>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</si>
  <si>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</si>
  <si>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</si>
  <si>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</si>
  <si>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</si>
  <si>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</si>
  <si>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</si>
  <si>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</si>
  <si>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</si>
  <si>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</si>
  <si>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</si>
  <si>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</si>
  <si>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</si>
  <si>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</si>
  <si>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</si>
  <si>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</si>
  <si>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</si>
  <si>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</si>
  <si>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</si>
  <si>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</si>
  <si>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</si>
  <si>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</si>
  <si>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</si>
  <si>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</si>
  <si>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</si>
  <si>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</si>
  <si>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</si>
  <si>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</si>
  <si>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</si>
  <si>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</si>
  <si>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</si>
  <si>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</si>
  <si>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</si>
  <si>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</si>
  <si>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</si>
  <si>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</si>
  <si>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</si>
  <si>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</si>
  <si>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</si>
  <si>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</si>
  <si>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</si>
  <si>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</si>
  <si>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</si>
  <si>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</si>
  <si>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</si>
  <si>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</si>
  <si>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</si>
  <si>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</si>
  <si>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</si>
  <si>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</si>
  <si>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</si>
  <si>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</si>
  <si>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</si>
  <si>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</si>
  <si>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</si>
  <si>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</si>
  <si>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</si>
  <si>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</si>
  <si>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</si>
  <si>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</si>
  <si>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</si>
  <si>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</si>
  <si>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</si>
  <si>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</si>
  <si>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</si>
  <si>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</si>
  <si>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</si>
  <si>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</si>
  <si>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</si>
  <si>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</si>
  <si>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</si>
  <si>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</si>
  <si>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</si>
  <si>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</si>
  <si>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</si>
  <si>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</si>
  <si>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</si>
  <si>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</si>
  <si>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</si>
  <si>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</si>
  <si>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</si>
  <si>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</si>
  <si>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</si>
  <si>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</si>
  <si>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</si>
  <si>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</si>
  <si>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</si>
  <si>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</si>
  <si>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</si>
  <si>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</si>
  <si>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</si>
  <si>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</si>
  <si>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</si>
  <si>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</si>
  <si>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</si>
  <si>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</si>
  <si>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</si>
  <si>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</si>
  <si>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</si>
  <si>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</si>
  <si>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</si>
  <si>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</si>
  <si>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</si>
  <si>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</si>
  <si>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</si>
  <si>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</si>
  <si>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</si>
  <si>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</si>
  <si>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</si>
  <si>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</si>
  <si>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</si>
  <si>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</si>
  <si>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</si>
  <si>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</si>
  <si>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</si>
  <si>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</si>
  <si>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</si>
  <si>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</si>
  <si>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</si>
  <si>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</si>
  <si>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</si>
  <si>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</si>
  <si>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</si>
  <si>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</si>
  <si>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</si>
  <si>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</si>
  <si>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</si>
  <si>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</si>
  <si>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</si>
  <si>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</si>
  <si>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</si>
  <si>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</si>
  <si>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</si>
  <si>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</si>
  <si>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</si>
  <si>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</si>
  <si>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</si>
  <si>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</si>
  <si>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</si>
  <si>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</si>
  <si>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</si>
  <si>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</si>
  <si>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</si>
  <si>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</si>
  <si>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</si>
  <si>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</si>
  <si>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</si>
  <si>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</si>
  <si>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</si>
  <si>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</si>
  <si>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</si>
  <si>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</si>
  <si>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</si>
  <si>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</si>
  <si>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</si>
  <si>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</si>
  <si>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</si>
  <si>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</si>
  <si>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</si>
  <si>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</si>
  <si>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</si>
  <si>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</si>
  <si>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</si>
  <si>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</si>
  <si>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</si>
  <si>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</si>
  <si>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</si>
  <si>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</si>
  <si>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</si>
  <si>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</si>
  <si>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</si>
  <si>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</si>
  <si>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</si>
  <si>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</si>
  <si>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</si>
  <si>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</si>
  <si>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</si>
  <si>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</si>
  <si>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</si>
  <si>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</si>
  <si>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</si>
  <si>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</si>
  <si>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</si>
  <si>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</si>
  <si>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</si>
  <si>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</si>
  <si>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</si>
  <si>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</si>
  <si>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</si>
  <si>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</si>
  <si>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</si>
  <si>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</si>
  <si>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</si>
  <si>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</si>
  <si>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</si>
  <si>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</si>
  <si>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</si>
  <si>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</si>
  <si>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</si>
  <si>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</si>
  <si>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</si>
  <si>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</si>
  <si>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</si>
  <si>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</si>
  <si>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</si>
  <si>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</si>
  <si>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</si>
  <si>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</si>
  <si>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</si>
  <si>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</si>
  <si>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</si>
  <si>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</si>
  <si>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</si>
  <si>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</si>
  <si>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</si>
  <si>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</si>
  <si>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</si>
  <si>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</si>
  <si>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</si>
  <si>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</si>
  <si>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</si>
  <si>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</si>
  <si>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</si>
  <si>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</si>
  <si>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</si>
  <si>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</si>
  <si>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</si>
  <si>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</si>
  <si>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</si>
  <si>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</si>
  <si>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</si>
  <si>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</si>
  <si>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</si>
  <si>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</si>
  <si>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</si>
  <si>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</si>
  <si>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</si>
  <si>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</si>
  <si>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</si>
  <si>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</si>
  <si>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</si>
  <si>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</si>
  <si>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</si>
  <si>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</si>
  <si>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</si>
  <si>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</si>
  <si>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</si>
  <si>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</si>
  <si>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</si>
  <si>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</si>
  <si>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</si>
  <si>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</si>
  <si>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</si>
  <si>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</si>
  <si>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</si>
  <si>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</si>
  <si>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</si>
  <si>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</si>
  <si>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</si>
  <si>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</si>
  <si>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</si>
  <si>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</si>
  <si>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</si>
  <si>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</si>
  <si>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</si>
  <si>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</si>
  <si>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</si>
  <si>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</si>
  <si>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</si>
  <si>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</si>
  <si>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</si>
  <si>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</si>
  <si>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</si>
  <si>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</si>
  <si>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</si>
  <si>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</si>
  <si>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</si>
  <si>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</si>
  <si>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</si>
  <si>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</si>
  <si>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</si>
  <si>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</si>
  <si>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</si>
  <si>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</si>
  <si>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</si>
  <si>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</si>
  <si>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</si>
  <si>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</si>
  <si>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</si>
  <si>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</si>
  <si>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</si>
  <si>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</si>
  <si>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</si>
  <si>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</si>
  <si>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</si>
  <si>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</si>
  <si>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</si>
  <si>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</si>
  <si>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</si>
  <si>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</si>
  <si>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</si>
  <si>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</si>
  <si>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</si>
  <si>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</si>
  <si>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</si>
  <si>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</si>
  <si>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</si>
  <si>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</si>
  <si>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</si>
  <si>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</si>
  <si>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</si>
  <si>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</si>
  <si>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</si>
  <si>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</si>
  <si>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</si>
  <si>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</si>
  <si>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</si>
  <si>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</si>
  <si>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</si>
  <si>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</si>
  <si>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</si>
  <si>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</si>
  <si>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</si>
  <si>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</si>
  <si>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</si>
  <si>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</si>
  <si>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</si>
  <si>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</si>
  <si>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</si>
  <si>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</si>
  <si>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</si>
  <si>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</si>
  <si>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</si>
  <si>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</si>
  <si>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</si>
  <si>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</si>
  <si>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</si>
  <si>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</si>
  <si>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</si>
  <si>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</si>
  <si>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</si>
  <si>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</si>
  <si>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</si>
  <si>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</si>
  <si>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</si>
  <si>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</si>
  <si>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</si>
  <si>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</si>
  <si>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</si>
  <si>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</si>
  <si>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</si>
  <si>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</si>
  <si>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</si>
  <si>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</si>
  <si>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</si>
  <si>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</si>
  <si>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</si>
  <si>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</si>
  <si>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</si>
  <si>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</si>
  <si>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</si>
  <si>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</si>
  <si>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</si>
  <si>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</si>
  <si>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</si>
  <si>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</si>
  <si>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</si>
  <si>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</si>
  <si>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</si>
  <si>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</si>
  <si>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</si>
  <si>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</si>
  <si>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</si>
  <si>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</si>
  <si>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</si>
  <si>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</si>
  <si>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</si>
  <si>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</si>
  <si>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</si>
  <si>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</si>
  <si>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</si>
  <si>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</si>
  <si>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</si>
  <si>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</si>
  <si>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</si>
  <si>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</si>
  <si>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</si>
  <si>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</si>
  <si>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</si>
  <si>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</si>
  <si>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</si>
  <si>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</si>
  <si>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</si>
  <si>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</si>
  <si>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</si>
  <si>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</si>
  <si>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</si>
  <si>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</si>
  <si>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</si>
  <si>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</si>
  <si>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</si>
  <si>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</si>
  <si>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</si>
  <si>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</si>
  <si>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</si>
  <si>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</si>
  <si>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</si>
  <si>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</si>
  <si>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</si>
  <si>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</si>
  <si>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</si>
  <si>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</si>
  <si>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</si>
  <si>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</si>
  <si>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</si>
  <si>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</si>
  <si>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</si>
  <si>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</si>
  <si>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</si>
  <si>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</si>
  <si>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</si>
  <si>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</si>
  <si>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</si>
  <si>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</si>
  <si>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</si>
  <si>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</si>
  <si>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</si>
  <si>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</si>
  <si>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</si>
  <si>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</si>
  <si>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</si>
  <si>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</si>
  <si>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</si>
  <si>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</si>
  <si>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</si>
  <si>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</si>
  <si>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</si>
  <si>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</si>
  <si>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</si>
  <si>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</si>
  <si>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</si>
  <si>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</si>
  <si>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</si>
  <si>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</si>
  <si>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</si>
  <si>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</si>
  <si>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</si>
  <si>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</si>
  <si>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</si>
  <si>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</si>
  <si>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</si>
  <si>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</si>
  <si>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</si>
  <si>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</si>
  <si>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</si>
  <si>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</si>
  <si>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</si>
  <si>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</si>
  <si>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</si>
  <si>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</si>
  <si>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</si>
  <si>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</si>
  <si>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</si>
  <si>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</si>
  <si>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</si>
  <si>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</si>
  <si>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</si>
  <si>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</si>
  <si>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</si>
  <si>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</si>
  <si>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</si>
  <si>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</si>
  <si>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</si>
  <si>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</si>
  <si>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</si>
  <si>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</si>
  <si>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</si>
  <si>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</si>
  <si>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</si>
  <si>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</si>
  <si>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</si>
  <si>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</si>
  <si>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</si>
  <si>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</si>
  <si>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</si>
  <si>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</si>
  <si>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</si>
  <si>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</si>
  <si>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</si>
  <si>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</si>
  <si>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</si>
  <si>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</si>
  <si>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</si>
  <si>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</si>
  <si>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</si>
  <si>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</si>
  <si>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</si>
  <si>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</si>
  <si>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</si>
  <si>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</si>
  <si>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</si>
  <si>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</si>
  <si>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</si>
  <si>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</si>
  <si>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</si>
  <si>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</si>
  <si>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</si>
  <si>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</si>
  <si>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</si>
  <si>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</si>
  <si>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</si>
  <si>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</si>
  <si>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</si>
  <si>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</si>
  <si>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</si>
  <si>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</si>
  <si>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</si>
  <si>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</si>
  <si>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</si>
  <si>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</si>
  <si>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</si>
  <si>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</si>
  <si>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</si>
  <si>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</si>
  <si>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</si>
  <si>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</si>
  <si>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</si>
  <si>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</si>
  <si>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</si>
  <si>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</si>
  <si>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</si>
  <si>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</si>
  <si>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</si>
  <si>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</si>
  <si>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</si>
  <si>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</si>
  <si>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</si>
  <si>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</si>
  <si>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</si>
  <si>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</si>
  <si>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</si>
  <si>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</si>
  <si>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</si>
  <si>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</si>
  <si>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</si>
  <si>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</si>
  <si>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</si>
  <si>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</si>
  <si>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</si>
  <si>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</si>
  <si>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</si>
  <si>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</si>
  <si>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</si>
  <si>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</si>
  <si>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</si>
  <si>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</si>
  <si>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</si>
  <si>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</si>
  <si>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</si>
  <si>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</si>
  <si>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</si>
  <si>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</si>
  <si>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</si>
  <si>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</si>
  <si>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</si>
  <si>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</si>
  <si>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</si>
  <si>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</si>
  <si>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</si>
  <si>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</si>
  <si>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</si>
  <si>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</si>
  <si>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</si>
  <si>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</si>
  <si>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</si>
  <si>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</si>
  <si>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</si>
  <si>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</si>
  <si>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</si>
  <si>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</si>
  <si>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</si>
  <si>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</si>
  <si>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</si>
  <si>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</si>
  <si>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</si>
  <si>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</si>
  <si>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</si>
  <si>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</si>
  <si>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</si>
  <si>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</si>
  <si>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</si>
  <si>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</si>
  <si>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</si>
  <si>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</si>
  <si>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</si>
  <si>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</si>
  <si>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</si>
  <si>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</si>
  <si>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</si>
  <si>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</si>
  <si>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</si>
  <si>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</si>
  <si>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</si>
  <si>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</si>
  <si>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</si>
  <si>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</si>
  <si>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</si>
  <si>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</si>
  <si>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</si>
  <si>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</si>
  <si>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</si>
  <si>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</si>
  <si>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</si>
  <si>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</si>
  <si>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</si>
  <si>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</si>
  <si>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</si>
  <si>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</si>
  <si>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</si>
  <si>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</si>
  <si>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</si>
  <si>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</si>
  <si>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</si>
  <si>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</si>
  <si>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</si>
  <si>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</si>
  <si>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</si>
  <si>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</si>
  <si>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</si>
  <si>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</si>
  <si>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</si>
  <si>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</si>
  <si>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</si>
  <si>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</si>
  <si>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</si>
  <si>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</si>
  <si>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</si>
  <si>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</si>
  <si>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</si>
  <si>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</si>
  <si>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</si>
  <si>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</si>
  <si>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</si>
  <si>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</si>
  <si>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</si>
  <si>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</si>
  <si>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</si>
  <si>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</si>
  <si>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</si>
  <si>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</si>
  <si>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</si>
  <si>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</si>
  <si>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</si>
  <si>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</si>
  <si>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</si>
  <si>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</si>
  <si>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</si>
  <si>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</si>
  <si>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</si>
  <si>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</si>
  <si>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</si>
  <si>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</si>
  <si>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</si>
  <si>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</si>
  <si>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</si>
  <si>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</si>
  <si>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</si>
  <si>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</si>
  <si>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</si>
  <si>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</si>
  <si>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</si>
  <si>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</si>
  <si>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</si>
  <si>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</si>
  <si>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</si>
  <si>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</si>
  <si>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</si>
  <si>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</si>
  <si>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</si>
  <si>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</si>
  <si>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</si>
  <si>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</si>
  <si>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</si>
  <si>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</si>
  <si>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</si>
  <si>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</si>
  <si>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</si>
  <si>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</si>
  <si>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</si>
  <si>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</si>
  <si>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</si>
  <si>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</si>
  <si>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</si>
  <si>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</si>
  <si>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</si>
  <si>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</si>
  <si>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</si>
  <si>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</si>
  <si>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</si>
  <si>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</si>
  <si>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</si>
  <si>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</si>
  <si>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</si>
  <si>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</si>
  <si>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</si>
  <si>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</si>
  <si>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</si>
  <si>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</si>
  <si>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</si>
  <si>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</si>
  <si>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</si>
  <si>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</si>
  <si>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</si>
  <si>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</si>
  <si>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</si>
  <si>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</si>
  <si>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</si>
  <si>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</si>
  <si>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</si>
  <si>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</si>
  <si>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</si>
  <si>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</si>
  <si>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</si>
  <si>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</si>
  <si>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</si>
  <si>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</si>
  <si>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</si>
  <si>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</si>
  <si>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</si>
  <si>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</si>
  <si>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</si>
  <si>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</si>
  <si>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</si>
  <si>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</si>
  <si>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</si>
  <si>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</si>
  <si>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</si>
  <si>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</si>
  <si>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</si>
  <si>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</si>
  <si>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</si>
  <si>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</si>
  <si>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</si>
  <si>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</si>
  <si>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</si>
  <si>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</si>
  <si>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</si>
  <si>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</si>
  <si>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</si>
  <si>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</si>
  <si>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</si>
  <si>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</si>
  <si>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</si>
  <si>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</si>
  <si>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</si>
  <si>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</si>
  <si>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</si>
  <si>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</si>
  <si>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</si>
  <si>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</si>
  <si>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</si>
  <si>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</si>
  <si>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</si>
  <si>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</si>
  <si>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</si>
  <si>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</si>
  <si>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</si>
  <si>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</si>
  <si>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</si>
  <si>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</si>
  <si>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</si>
  <si>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</si>
  <si>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</si>
  <si>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</si>
  <si>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</si>
  <si>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</si>
  <si>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</si>
  <si>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</si>
  <si>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</si>
  <si>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</si>
  <si>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</si>
  <si>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</si>
  <si>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</si>
  <si>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</si>
  <si>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</si>
  <si>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</si>
  <si>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</si>
  <si>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</si>
  <si>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</si>
  <si>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</si>
  <si>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</si>
  <si>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</si>
  <si>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</si>
  <si>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</si>
  <si>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</si>
  <si>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</si>
  <si>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</si>
  <si>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</si>
  <si>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</si>
  <si>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</si>
  <si>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</si>
  <si>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</si>
  <si>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</si>
  <si>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</si>
  <si>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</si>
  <si>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</si>
  <si>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</si>
  <si>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</si>
  <si>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</si>
  <si>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</si>
  <si>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</si>
  <si>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</si>
  <si>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</si>
  <si>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</si>
  <si>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</si>
  <si>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</si>
  <si>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</si>
  <si>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</si>
  <si>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</si>
  <si>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</si>
  <si>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</si>
  <si>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</si>
  <si>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</si>
  <si>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</si>
  <si>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</si>
  <si>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</si>
  <si>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</si>
  <si>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</si>
  <si>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</si>
  <si>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</si>
  <si>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</si>
  <si>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</si>
  <si>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</si>
  <si>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</si>
  <si>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</si>
  <si>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</si>
  <si>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</si>
  <si>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</si>
  <si>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</si>
  <si>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</si>
  <si>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</si>
  <si>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</si>
  <si>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</si>
  <si>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</si>
  <si>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</si>
  <si>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</si>
  <si>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</si>
  <si>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</si>
  <si>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</si>
  <si>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</si>
  <si>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</si>
  <si>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</si>
  <si>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</si>
  <si>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</si>
  <si>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</si>
  <si>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</si>
  <si>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</si>
  <si>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</si>
  <si>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</si>
  <si>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</si>
  <si>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</si>
  <si>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</si>
  <si>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</si>
  <si>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</si>
  <si>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</si>
  <si>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</si>
  <si>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</si>
  <si>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</si>
  <si>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</si>
  <si>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</si>
  <si>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</si>
  <si>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</si>
  <si>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</si>
  <si>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</si>
  <si>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</si>
  <si>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</si>
  <si>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</si>
  <si>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</si>
  <si>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</si>
  <si>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</si>
  <si>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</si>
  <si>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</si>
  <si>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</si>
  <si>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</si>
  <si>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</si>
  <si>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</si>
  <si>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</si>
  <si>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</si>
  <si>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</si>
  <si>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</si>
  <si>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</si>
  <si>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</si>
  <si>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</si>
  <si>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</si>
  <si>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</si>
  <si>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</si>
  <si>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</si>
  <si>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</si>
  <si>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</si>
  <si>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</si>
  <si>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</si>
  <si>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</si>
  <si>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</si>
  <si>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</si>
  <si>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</si>
  <si>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</si>
  <si>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</si>
  <si>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</si>
  <si>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</si>
  <si>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</si>
  <si>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</si>
  <si>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</si>
  <si>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</si>
  <si>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</si>
  <si>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</si>
  <si>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</si>
  <si>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</si>
  <si>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</si>
  <si>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</si>
  <si>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</si>
  <si>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</si>
  <si>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</si>
  <si>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</si>
  <si>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</si>
  <si>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</si>
  <si>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</si>
  <si>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</si>
  <si>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</si>
  <si>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</si>
  <si>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</si>
  <si>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</si>
  <si>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</si>
  <si>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</si>
  <si>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</si>
  <si>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</si>
  <si>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</si>
  <si>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</si>
  <si>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</si>
  <si>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</si>
  <si>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</si>
  <si>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</si>
  <si>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</si>
  <si>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</si>
  <si>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</si>
  <si>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</si>
  <si>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</si>
  <si>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</si>
  <si>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</si>
  <si>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</si>
  <si>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</si>
  <si>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</si>
  <si>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</si>
  <si>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</si>
  <si>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</si>
  <si>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</si>
  <si>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</si>
  <si>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</si>
  <si>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</si>
  <si>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</si>
  <si>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</si>
  <si>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</si>
  <si>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</si>
  <si>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</si>
  <si>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</si>
  <si>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</si>
  <si>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</si>
  <si>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</si>
  <si>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</si>
  <si>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</si>
  <si>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</si>
  <si>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</si>
  <si>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</si>
  <si>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</si>
  <si>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</si>
  <si>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</si>
  <si>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</si>
  <si>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</si>
  <si>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</si>
  <si>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</si>
  <si>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</si>
  <si>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</si>
  <si>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</si>
  <si>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</si>
  <si>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</si>
  <si>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</si>
  <si>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</si>
  <si>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</si>
  <si>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</si>
  <si>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</si>
  <si>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</si>
  <si>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</si>
  <si>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</si>
  <si>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</si>
  <si>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</si>
  <si>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</si>
  <si>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</si>
  <si>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</si>
  <si>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</si>
  <si>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</si>
  <si>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</si>
  <si>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</si>
  <si>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</si>
  <si>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</si>
  <si>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</si>
  <si>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</si>
  <si>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</si>
  <si>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</si>
  <si>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</si>
  <si>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</si>
  <si>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</si>
  <si>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</si>
  <si>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</si>
  <si>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</si>
  <si>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</si>
  <si>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</si>
  <si>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</si>
  <si>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</si>
  <si>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</si>
  <si>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</si>
  <si>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</si>
  <si>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</si>
  <si>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</si>
  <si>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</si>
  <si>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</si>
  <si>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</si>
  <si>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</si>
  <si>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</si>
  <si>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</si>
  <si>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</si>
  <si>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</si>
  <si>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</si>
  <si>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</si>
  <si>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</si>
  <si>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</si>
  <si>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</si>
  <si>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</si>
  <si>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</si>
  <si>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</si>
  <si>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</si>
  <si>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</si>
  <si>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</si>
  <si>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</si>
  <si>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</si>
  <si>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</si>
  <si>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</si>
  <si>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</si>
  <si>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</si>
  <si>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</si>
  <si>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</si>
  <si>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</si>
  <si>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</si>
  <si>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</si>
  <si>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</si>
  <si>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</si>
  <si>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</si>
  <si>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</si>
  <si>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</si>
  <si>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</si>
  <si>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</si>
  <si>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</si>
  <si>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</si>
  <si>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</si>
  <si>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</si>
  <si>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</si>
  <si>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</si>
  <si>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</si>
  <si>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</si>
  <si>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</si>
  <si>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</si>
  <si>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</si>
  <si>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</si>
  <si>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</si>
  <si>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</si>
  <si>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</si>
  <si>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</si>
  <si>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</si>
  <si>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</si>
  <si>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</si>
  <si>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</si>
  <si>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</si>
  <si>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</si>
  <si>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</si>
  <si>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</si>
  <si>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</si>
  <si>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</si>
  <si>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</si>
  <si>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</si>
  <si>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</si>
  <si>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</si>
  <si>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</si>
  <si>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</si>
  <si>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</si>
  <si>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</si>
  <si>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</si>
  <si>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</si>
  <si>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</si>
  <si>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</si>
  <si>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</si>
  <si>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</si>
  <si>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</si>
  <si>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</si>
  <si>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</si>
  <si>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</si>
  <si>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</si>
  <si>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</si>
  <si>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</si>
  <si>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</si>
  <si>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</si>
  <si>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</si>
  <si>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</si>
  <si>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</si>
  <si>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</si>
  <si>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</si>
  <si>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</si>
  <si>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</si>
  <si>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</si>
  <si>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</si>
  <si>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</si>
  <si>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</si>
  <si>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</si>
  <si>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</si>
  <si>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</si>
  <si>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</si>
  <si>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</si>
  <si>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</si>
  <si>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</si>
  <si>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</si>
  <si>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</si>
  <si>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</si>
  <si>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</si>
  <si>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</si>
  <si>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</si>
  <si>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</si>
  <si>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</si>
  <si>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</si>
  <si>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</si>
  <si>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</si>
  <si>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</si>
  <si>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</si>
  <si>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</si>
  <si>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</si>
  <si>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</si>
  <si>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</si>
  <si>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</si>
  <si>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</si>
  <si>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</si>
  <si>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</si>
  <si>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</si>
  <si>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</si>
  <si>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</si>
  <si>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</si>
  <si>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</si>
  <si>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</si>
  <si>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</si>
  <si>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</si>
  <si>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</si>
  <si>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</si>
  <si>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</si>
  <si>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</si>
  <si>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</si>
  <si>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</si>
  <si>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</si>
  <si>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</si>
  <si>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</si>
  <si>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</si>
  <si>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</si>
  <si>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</si>
  <si>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</si>
  <si>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</si>
  <si>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</si>
  <si>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</si>
  <si>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</si>
  <si>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</si>
  <si>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</si>
  <si>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</si>
  <si>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</si>
  <si>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</si>
  <si>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</si>
  <si>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</si>
  <si>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</si>
  <si>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</si>
  <si>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</si>
  <si>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</si>
  <si>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</si>
  <si>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</si>
  <si>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</si>
  <si>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</si>
  <si>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</si>
  <si>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</si>
  <si>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</si>
  <si>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</si>
  <si>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</si>
  <si>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</si>
  <si>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</si>
  <si>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</si>
  <si>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</si>
  <si>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</si>
  <si>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</si>
  <si>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</si>
  <si>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</si>
  <si>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</si>
  <si>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</si>
  <si>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</si>
  <si>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</si>
  <si>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</si>
  <si>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</si>
  <si>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</si>
  <si>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</si>
  <si>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</si>
  <si>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</si>
  <si>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</si>
  <si>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</si>
  <si>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</si>
  <si>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</si>
  <si>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</si>
  <si>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</si>
  <si>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</si>
  <si>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</si>
  <si>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</si>
  <si>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</si>
  <si>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</si>
  <si>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</si>
  <si>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</si>
  <si>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</si>
  <si>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</si>
  <si>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</si>
  <si>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</si>
  <si>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</si>
  <si>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</si>
  <si>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</si>
  <si>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</si>
  <si>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</si>
  <si>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</si>
  <si>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</si>
  <si>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</si>
  <si>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</si>
  <si>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</si>
  <si>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</si>
  <si>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</si>
  <si>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</si>
  <si>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</si>
  <si>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</si>
  <si>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</si>
  <si>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</si>
  <si>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</si>
  <si>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</si>
  <si>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</si>
  <si>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</si>
  <si>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</si>
  <si>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</si>
  <si>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</si>
  <si>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</si>
  <si>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</si>
  <si>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</si>
  <si>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</si>
  <si>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</si>
  <si>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</si>
  <si>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</si>
  <si>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</si>
  <si>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</si>
  <si>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</si>
  <si>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</si>
  <si>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</si>
  <si>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</si>
  <si>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</si>
  <si>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</si>
  <si>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</si>
  <si>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</si>
  <si>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</si>
  <si>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</si>
  <si>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</si>
  <si>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</si>
  <si>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</si>
  <si>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</si>
  <si>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</si>
  <si>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</si>
  <si>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</si>
  <si>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</si>
  <si>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</si>
  <si>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</si>
  <si>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</si>
  <si>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</si>
  <si>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</si>
  <si>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</si>
  <si>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</si>
  <si>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</si>
  <si>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</si>
  <si>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</si>
  <si>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</si>
  <si>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</si>
  <si>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</si>
  <si>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</si>
  <si>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</si>
  <si>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</si>
  <si>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</si>
  <si>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</si>
  <si>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</si>
  <si>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</si>
  <si>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</si>
  <si>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</si>
  <si>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</si>
  <si>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</si>
  <si>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</si>
  <si>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</si>
  <si>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</si>
  <si>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</si>
  <si>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</si>
  <si>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</si>
  <si>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</si>
  <si>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</si>
  <si>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</si>
  <si>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</si>
  <si>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</si>
  <si>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</si>
  <si>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</si>
  <si>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</si>
  <si>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</si>
  <si>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</si>
  <si>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</si>
  <si>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</si>
  <si>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</si>
  <si>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</si>
  <si>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</si>
  <si>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</si>
  <si>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</si>
  <si>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</si>
  <si>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</si>
  <si>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</si>
  <si>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</si>
  <si>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</si>
  <si>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</si>
  <si>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</si>
  <si>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</si>
  <si>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</si>
  <si>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</si>
  <si>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</si>
  <si>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</si>
  <si>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</si>
  <si>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</si>
  <si>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</si>
  <si>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</si>
  <si>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</si>
  <si>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</si>
  <si>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</si>
  <si>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</si>
  <si>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</si>
  <si>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</si>
  <si>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</si>
  <si>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</si>
  <si>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</si>
  <si>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</si>
  <si>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</si>
  <si>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</si>
  <si>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</si>
  <si>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</si>
  <si>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</si>
  <si>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</si>
  <si>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</si>
  <si>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</si>
  <si>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</si>
  <si>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</si>
  <si>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</si>
  <si>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</si>
  <si>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</si>
  <si>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</si>
  <si>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</si>
  <si>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</si>
  <si>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</si>
  <si>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</si>
  <si>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</si>
  <si>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</si>
  <si>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</si>
  <si>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</si>
  <si>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</si>
  <si>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</si>
  <si>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</si>
  <si>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</si>
  <si>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</si>
  <si>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</si>
  <si>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</si>
  <si>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</si>
  <si>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</si>
  <si>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</si>
  <si>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</si>
  <si>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</si>
  <si>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</si>
  <si>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</si>
  <si>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</si>
  <si>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</si>
  <si>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</si>
  <si>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</si>
  <si>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</si>
  <si>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</si>
  <si>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</si>
  <si>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</si>
  <si>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</si>
  <si>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</si>
  <si>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</si>
  <si>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</si>
  <si>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</si>
  <si>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</si>
  <si>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</si>
  <si>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</si>
  <si>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</si>
  <si>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</si>
  <si>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</si>
  <si>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</si>
  <si>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</si>
  <si>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</si>
  <si>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</si>
  <si>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</si>
  <si>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</si>
  <si>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</si>
  <si>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</si>
  <si>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</si>
  <si>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</si>
  <si>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</si>
  <si>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</si>
  <si>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</si>
  <si>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</si>
  <si>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</si>
  <si>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</si>
  <si>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</si>
  <si>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</si>
  <si>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</si>
  <si>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</si>
  <si>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</si>
  <si>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</si>
  <si>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</si>
  <si>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</si>
  <si>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</si>
  <si>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</si>
  <si>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</si>
  <si>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</si>
  <si>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</si>
  <si>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</si>
  <si>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</si>
  <si>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</si>
  <si>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</si>
  <si>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</si>
  <si>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</si>
  <si>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</si>
  <si>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</si>
  <si>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</si>
  <si>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</si>
  <si>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</si>
  <si>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</si>
  <si>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</si>
  <si>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</si>
  <si>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</si>
  <si>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</si>
  <si>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</si>
  <si>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</si>
  <si>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</si>
  <si>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</si>
  <si>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</si>
  <si>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</si>
  <si>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</si>
  <si>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</si>
  <si>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</si>
  <si>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</si>
  <si>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</si>
  <si>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</si>
  <si>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</si>
  <si>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</si>
  <si>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</si>
  <si>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</si>
  <si>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</si>
  <si>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</si>
  <si>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</si>
  <si>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</si>
  <si>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</si>
  <si>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</si>
  <si>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</si>
  <si>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</si>
  <si>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</si>
  <si>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</si>
  <si>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</si>
  <si>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</si>
  <si>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</si>
  <si>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</si>
  <si>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</si>
  <si>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</si>
  <si>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</si>
  <si>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</si>
  <si>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</si>
  <si>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</si>
  <si>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</si>
  <si>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</si>
  <si>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</si>
  <si>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</si>
  <si>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</si>
  <si>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</si>
  <si>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</si>
  <si>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</si>
  <si>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</si>
  <si>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</si>
  <si>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</si>
  <si>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</si>
  <si>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</si>
  <si>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</si>
  <si>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</si>
  <si>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</si>
  <si>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</si>
  <si>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</si>
  <si>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</si>
  <si>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</si>
  <si>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</si>
  <si>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</si>
  <si>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</si>
  <si>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</si>
  <si>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</si>
  <si>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</si>
  <si>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</si>
  <si>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</si>
  <si>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</si>
  <si>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</si>
  <si>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</si>
  <si>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</si>
  <si>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</si>
  <si>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</si>
  <si>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</si>
  <si>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</si>
  <si>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</si>
  <si>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</si>
  <si>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</si>
  <si>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</si>
  <si>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</si>
  <si>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</si>
  <si>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</si>
  <si>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</si>
  <si>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</si>
  <si>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</si>
  <si>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</si>
  <si>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</si>
  <si>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</si>
  <si>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</si>
  <si>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</si>
  <si>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</si>
  <si>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</si>
  <si>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</si>
  <si>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</si>
  <si>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</si>
  <si>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</si>
  <si>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</si>
  <si>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</si>
  <si>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</si>
  <si>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</si>
  <si>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</si>
  <si>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</si>
  <si>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</si>
  <si>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</si>
  <si>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</si>
  <si>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</si>
  <si>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</si>
  <si>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</si>
  <si>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</si>
  <si>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</si>
  <si>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</si>
  <si>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</si>
  <si>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</si>
  <si>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</si>
  <si>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</si>
  <si>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</si>
  <si>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</si>
  <si>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</si>
  <si>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</si>
  <si>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</si>
  <si>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</si>
  <si>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</si>
  <si>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</si>
  <si>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</si>
  <si>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</si>
  <si>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</si>
  <si>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</si>
  <si>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</si>
  <si>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</si>
  <si>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</si>
  <si>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</si>
  <si>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</si>
  <si>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</si>
  <si>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</si>
  <si>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</si>
  <si>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</si>
  <si>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</si>
  <si>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</si>
  <si>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</si>
  <si>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</si>
  <si>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</si>
  <si>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</si>
  <si>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</si>
  <si>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</si>
  <si>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</si>
  <si>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</si>
  <si>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</si>
  <si>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</si>
  <si>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</si>
  <si>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</si>
  <si>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</si>
  <si>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</si>
  <si>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</si>
  <si>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</si>
  <si>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</si>
  <si>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</si>
  <si>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</si>
  <si>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</si>
  <si>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</si>
  <si>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</si>
  <si>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</si>
  <si>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</si>
  <si>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</si>
  <si>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</si>
  <si>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</si>
  <si>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</si>
  <si>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</si>
  <si>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</si>
  <si>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</si>
  <si>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</si>
  <si>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</si>
  <si>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</si>
  <si>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</si>
  <si>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</si>
  <si>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</si>
  <si>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</si>
  <si>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</si>
  <si>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</si>
  <si>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</si>
  <si>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</si>
  <si>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</si>
  <si>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</si>
  <si>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</si>
  <si>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</si>
  <si>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</si>
  <si>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</si>
  <si>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</si>
  <si>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</si>
  <si>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</si>
  <si>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</si>
  <si>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</si>
  <si>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</si>
  <si>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</si>
  <si>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</si>
  <si>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</si>
  <si>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</si>
  <si>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</si>
  <si>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</si>
  <si>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</si>
  <si>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</si>
  <si>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</si>
  <si>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</si>
  <si>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</si>
  <si>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</si>
  <si>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</si>
  <si>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</si>
  <si>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</si>
  <si>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</si>
  <si>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</si>
  <si>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</si>
  <si>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</si>
  <si>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</si>
  <si>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</si>
  <si>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</si>
  <si>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</si>
  <si>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</si>
  <si>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</si>
  <si>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</si>
  <si>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</si>
  <si>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</si>
  <si>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</si>
  <si>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</si>
  <si>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</si>
  <si>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</si>
  <si>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</si>
  <si>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</si>
  <si>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</si>
  <si>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</si>
  <si>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</si>
  <si>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</si>
  <si>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</si>
  <si>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</si>
  <si>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</si>
  <si>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</si>
  <si>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</si>
  <si>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</si>
  <si>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</si>
  <si>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</si>
  <si>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</si>
  <si>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</si>
  <si>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</si>
  <si>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</si>
  <si>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</si>
  <si>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</si>
  <si>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</si>
  <si>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</si>
  <si>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</si>
  <si>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</si>
  <si>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</si>
  <si>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</si>
  <si>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</si>
  <si>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</si>
  <si>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</si>
  <si>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</si>
  <si>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</si>
  <si>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</si>
  <si>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</si>
  <si>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</si>
  <si>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</si>
  <si>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</si>
  <si>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</si>
  <si>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</si>
  <si>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</si>
  <si>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</si>
  <si>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</si>
  <si>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</si>
  <si>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</si>
  <si>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</si>
  <si>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</si>
  <si>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</si>
  <si>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</si>
  <si>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</si>
  <si>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</si>
  <si>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</si>
  <si>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</si>
  <si>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</si>
  <si>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</si>
  <si>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</si>
  <si>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</si>
  <si>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</si>
  <si>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</si>
  <si>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</si>
  <si>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</si>
  <si>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</si>
  <si>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</si>
  <si>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</si>
  <si>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</si>
  <si>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</si>
  <si>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</si>
  <si>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</si>
  <si>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</si>
  <si>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</si>
  <si>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</si>
  <si>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</si>
  <si>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</si>
  <si>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</si>
  <si>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</si>
  <si>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</si>
  <si>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</si>
  <si>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</si>
  <si>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</si>
  <si>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</si>
  <si>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</si>
  <si>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</si>
  <si>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</si>
  <si>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</si>
  <si>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</si>
  <si>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</si>
  <si>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</si>
  <si>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</si>
  <si>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</si>
  <si>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</si>
  <si>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</si>
  <si>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</si>
  <si>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</si>
  <si>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</si>
  <si>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</si>
  <si>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</si>
  <si>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</si>
  <si>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</si>
  <si>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</si>
  <si>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</si>
  <si>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</si>
  <si>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</si>
  <si>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</si>
  <si>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</si>
  <si>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</si>
  <si>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</si>
  <si>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</si>
  <si>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</si>
  <si>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</si>
  <si>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</si>
  <si>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</si>
  <si>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</si>
  <si>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</si>
  <si>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</si>
  <si>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</si>
  <si>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</si>
  <si>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</si>
  <si>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</si>
  <si>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</si>
  <si>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</si>
  <si>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</si>
  <si>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</si>
  <si>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</si>
  <si>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</si>
  <si>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</si>
  <si>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</si>
  <si>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</si>
  <si>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</si>
  <si>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</si>
  <si>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</si>
  <si>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</si>
  <si>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</si>
  <si>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</si>
  <si>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</si>
  <si>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</si>
  <si>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</si>
  <si>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</si>
  <si>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</si>
  <si>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</si>
  <si>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</si>
  <si>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</si>
  <si>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</si>
  <si>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</si>
  <si>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</si>
  <si>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</si>
  <si>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</si>
  <si>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</si>
  <si>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</si>
  <si>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</si>
  <si>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</si>
  <si>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</si>
  <si>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</si>
  <si>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</si>
  <si>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</si>
  <si>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</si>
  <si>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</si>
  <si>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</si>
  <si>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</si>
  <si>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</si>
  <si>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</si>
  <si>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</si>
  <si>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</si>
  <si>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</si>
  <si>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</si>
  <si>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</si>
  <si>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</si>
  <si>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</si>
  <si>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</si>
  <si>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</si>
  <si>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</si>
  <si>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</si>
  <si>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</si>
  <si>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</si>
  <si>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</si>
  <si>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</si>
  <si>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</si>
  <si>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</si>
  <si>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</si>
  <si>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</si>
  <si>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</si>
  <si>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</si>
  <si>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</si>
  <si>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</si>
  <si>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</si>
  <si>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</si>
  <si>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</si>
  <si>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</si>
  <si>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</si>
  <si>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</si>
  <si>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</si>
  <si>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</si>
  <si>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</si>
  <si>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</si>
  <si>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</si>
  <si>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</si>
  <si>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</si>
  <si>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</si>
  <si>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</si>
  <si>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</si>
  <si>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</si>
  <si>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</si>
  <si>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</si>
  <si>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</si>
  <si>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</si>
  <si>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</si>
  <si>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</si>
  <si>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</si>
  <si>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</si>
  <si>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</si>
  <si>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</si>
  <si>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</si>
  <si>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</si>
  <si>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</si>
  <si>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</si>
  <si>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</si>
  <si>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</si>
  <si>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</si>
  <si>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</si>
  <si>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</si>
  <si>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</si>
  <si>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</si>
  <si>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</si>
  <si>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</si>
  <si>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</si>
  <si>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</si>
  <si>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</si>
  <si>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</si>
  <si>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</si>
  <si>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</si>
  <si>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</si>
  <si>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</si>
  <si>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</si>
  <si>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</si>
  <si>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</si>
  <si>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</si>
  <si>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</si>
  <si>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</si>
  <si>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</si>
  <si>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</si>
  <si>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</si>
  <si>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</si>
  <si>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</si>
  <si>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</si>
  <si>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</si>
  <si>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</si>
  <si>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</si>
  <si>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</si>
  <si>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</si>
  <si>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</si>
  <si>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</si>
  <si>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</si>
  <si>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</si>
  <si>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</si>
  <si>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</si>
  <si>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</si>
  <si>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</si>
  <si>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</si>
  <si>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</si>
  <si>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</si>
  <si>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</si>
  <si>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</si>
  <si>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</si>
  <si>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</si>
  <si>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</si>
  <si>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</si>
  <si>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</si>
  <si>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</si>
  <si>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</si>
  <si>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</si>
  <si>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</si>
  <si>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</si>
  <si>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</si>
  <si>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</si>
  <si>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</si>
  <si>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</si>
  <si>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</si>
  <si>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</si>
  <si>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</si>
  <si>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</si>
  <si>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</si>
  <si>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</si>
  <si>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</si>
  <si>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</si>
  <si>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</si>
  <si>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</si>
  <si>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</si>
  <si>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</si>
  <si>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</si>
  <si>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</si>
  <si>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</si>
  <si>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</si>
  <si>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</si>
  <si>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</si>
  <si>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</si>
  <si>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</si>
  <si>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</si>
  <si>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</si>
  <si>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</si>
  <si>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</si>
  <si>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</si>
  <si>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</si>
  <si>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</si>
  <si>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</si>
  <si>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</si>
  <si>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</si>
  <si>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</si>
  <si>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</si>
  <si>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</si>
  <si>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</si>
  <si>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</si>
  <si>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</si>
  <si>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</si>
  <si>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</si>
  <si>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</si>
  <si>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</si>
  <si>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</si>
  <si>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</si>
  <si>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</si>
  <si>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</si>
  <si>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</si>
  <si>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</si>
  <si>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</si>
  <si>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</si>
  <si>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</si>
  <si>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</si>
  <si>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</si>
  <si>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</si>
  <si>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</si>
  <si>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</si>
  <si>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</si>
  <si>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</si>
  <si>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</si>
  <si>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</si>
  <si>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</si>
  <si>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</si>
  <si>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</si>
  <si>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</si>
  <si>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</si>
  <si>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</si>
  <si>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</si>
  <si>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</si>
  <si>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</si>
  <si>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</si>
  <si>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</si>
  <si>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</si>
  <si>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</si>
  <si>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</si>
  <si>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</si>
  <si>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</si>
  <si>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</si>
  <si>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</si>
  <si>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</si>
  <si>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</si>
  <si>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</si>
  <si>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</si>
  <si>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</si>
  <si>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</si>
  <si>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</si>
  <si>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</si>
  <si>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</si>
  <si>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</si>
  <si>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</si>
  <si>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</si>
  <si>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</si>
  <si>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</si>
  <si>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</si>
  <si>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</si>
  <si>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</si>
  <si>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</si>
  <si>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</si>
  <si>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</si>
  <si>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</si>
  <si>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</si>
  <si>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</si>
  <si>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</si>
  <si>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</si>
  <si>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</si>
  <si>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</si>
  <si>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</si>
  <si>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</si>
  <si>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</si>
  <si>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</si>
  <si>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</si>
  <si>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</si>
  <si>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</si>
  <si>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</si>
  <si>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</si>
  <si>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</si>
  <si>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</si>
  <si>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</si>
  <si>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</si>
  <si>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</si>
  <si>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</si>
  <si>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</si>
  <si>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</si>
  <si>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</si>
  <si>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</si>
  <si>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</si>
  <si>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</si>
  <si>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</si>
  <si>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</si>
  <si>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</si>
  <si>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</si>
  <si>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</si>
  <si>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</si>
  <si>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</si>
  <si>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</si>
  <si>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</si>
  <si>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</si>
  <si>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</si>
  <si>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</si>
  <si>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</si>
  <si>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</si>
  <si>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</si>
  <si>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</si>
  <si>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</si>
  <si>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</si>
  <si>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</si>
  <si>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</si>
  <si>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</si>
  <si>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</si>
  <si>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</si>
  <si>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</si>
  <si>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</si>
  <si>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</si>
  <si>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</si>
  <si>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</si>
  <si>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</si>
  <si>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</si>
  <si>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</si>
  <si>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</si>
  <si>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</si>
  <si>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</si>
  <si>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</si>
  <si>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</si>
  <si>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</si>
  <si>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</si>
  <si>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</si>
  <si>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</si>
  <si>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</si>
  <si>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</si>
  <si>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</si>
  <si>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</si>
  <si>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</si>
  <si>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</si>
  <si>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</si>
  <si>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</si>
  <si>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</si>
  <si>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</si>
  <si>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</si>
  <si>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</si>
  <si>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</si>
  <si>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</si>
  <si>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</si>
  <si>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</si>
  <si>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</si>
  <si>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</si>
  <si>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</si>
  <si>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</si>
  <si>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</si>
  <si>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</si>
  <si>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</si>
  <si>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</si>
  <si>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</si>
  <si>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</si>
  <si>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</si>
  <si>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</si>
  <si>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</si>
  <si>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</si>
  <si>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</si>
  <si>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</si>
  <si>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</si>
  <si>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</si>
  <si>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</si>
  <si>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</si>
  <si>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</si>
  <si>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</si>
  <si>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</si>
  <si>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</si>
  <si>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</si>
  <si>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</si>
  <si>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</si>
  <si>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</si>
  <si>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</si>
  <si>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</si>
  <si>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</si>
  <si>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</si>
  <si>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</si>
  <si>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</si>
  <si>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</si>
  <si>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</si>
  <si>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</si>
  <si>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</si>
  <si>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</si>
  <si>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</si>
  <si>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</si>
  <si>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</si>
  <si>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</si>
  <si>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</si>
  <si>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</si>
  <si>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</si>
  <si>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</si>
  <si>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</si>
  <si>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</si>
  <si>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</si>
  <si>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</si>
  <si>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</si>
  <si>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</si>
  <si>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</si>
  <si>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</si>
  <si>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</si>
  <si>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</si>
  <si>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</si>
  <si>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</si>
  <si>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</si>
  <si>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</si>
  <si>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</si>
  <si>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</si>
  <si>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</si>
  <si>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</si>
  <si>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</si>
  <si>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</si>
  <si>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</si>
  <si>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</si>
  <si>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</si>
  <si>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</si>
  <si>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</si>
  <si>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</si>
  <si>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</si>
  <si>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</si>
  <si>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</si>
  <si>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</si>
  <si>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</si>
  <si>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</si>
  <si>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</si>
  <si>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</si>
  <si>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</si>
  <si>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</si>
  <si>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</si>
  <si>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</si>
  <si>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</si>
  <si>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</si>
  <si>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</si>
  <si>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</si>
  <si>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</si>
  <si>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</si>
  <si>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</si>
  <si>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</si>
  <si>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</si>
  <si>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</si>
  <si>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</si>
  <si>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</si>
  <si>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</si>
  <si>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</si>
  <si>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</si>
  <si>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</si>
  <si>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</si>
  <si>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</si>
  <si>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</si>
  <si>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</si>
  <si>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</si>
  <si>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</si>
  <si>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</si>
  <si>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</si>
  <si>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</si>
  <si>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</si>
  <si>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</si>
  <si>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</si>
  <si>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</si>
  <si>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</si>
  <si>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</si>
  <si>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</si>
  <si>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</si>
  <si>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</si>
  <si>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</si>
  <si>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</si>
  <si>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</si>
  <si>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</si>
  <si>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</si>
  <si>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</si>
  <si>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</si>
  <si>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</si>
  <si>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</si>
  <si>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</si>
  <si>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</si>
  <si>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</si>
  <si>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</si>
  <si>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</si>
  <si>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</si>
  <si>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</si>
  <si>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</si>
  <si>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</si>
  <si>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</si>
  <si>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</si>
  <si>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</si>
  <si>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</si>
  <si>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</si>
  <si>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</si>
  <si>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</si>
  <si>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</si>
  <si>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</si>
  <si>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</si>
  <si>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</si>
  <si>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</si>
  <si>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</si>
  <si>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</si>
  <si>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</si>
  <si>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</si>
  <si>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</si>
  <si>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</si>
  <si>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</si>
  <si>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</si>
  <si>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</si>
  <si>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</si>
  <si>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</si>
  <si>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</si>
  <si>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</si>
  <si>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</si>
  <si>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</si>
  <si>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</si>
  <si>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</si>
  <si>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</si>
  <si>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</si>
  <si>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</si>
  <si>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</si>
  <si>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</si>
  <si>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</si>
  <si>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</si>
  <si>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</si>
  <si>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</si>
  <si>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</si>
  <si>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</si>
  <si>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</si>
  <si>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</si>
  <si>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</si>
  <si>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</si>
  <si>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</si>
  <si>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</si>
  <si>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</si>
  <si>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</si>
  <si>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</si>
  <si>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</si>
  <si>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</si>
  <si>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</si>
  <si>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</si>
  <si>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</si>
  <si>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</si>
  <si>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</si>
  <si>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</si>
  <si>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</si>
  <si>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</si>
  <si>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</si>
  <si>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</si>
  <si>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</si>
  <si>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</si>
  <si>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</si>
  <si>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</si>
  <si>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</si>
  <si>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</si>
  <si>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</si>
  <si>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</si>
  <si>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</si>
  <si>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</si>
  <si>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</si>
  <si>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</si>
  <si>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</si>
  <si>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</si>
  <si>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</si>
  <si>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</si>
  <si>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</si>
  <si>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</si>
  <si>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</si>
  <si>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</si>
  <si>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</si>
  <si>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</si>
  <si>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</si>
  <si>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</si>
  <si>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</si>
  <si>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</si>
  <si>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</si>
  <si>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</si>
  <si>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</si>
  <si>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</si>
  <si>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</si>
  <si>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</si>
  <si>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</si>
  <si>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</si>
  <si>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</si>
  <si>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</si>
  <si>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</si>
  <si>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</si>
  <si>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</si>
  <si>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</si>
  <si>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</si>
  <si>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</si>
  <si>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</si>
  <si>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</si>
  <si>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</si>
  <si>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</si>
  <si>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</si>
  <si>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</si>
  <si>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</si>
  <si>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</si>
  <si>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</si>
  <si>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</si>
  <si>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</si>
  <si>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</si>
  <si>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</si>
  <si>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</si>
  <si>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</si>
  <si>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</si>
  <si>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</si>
  <si>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</si>
  <si>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</si>
  <si>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</si>
  <si>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</si>
  <si>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</si>
  <si>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</si>
  <si>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</si>
  <si>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</si>
  <si>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</si>
  <si>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</si>
  <si>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</si>
  <si>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</si>
  <si>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</si>
  <si>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</si>
  <si>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</si>
  <si>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</si>
  <si>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</si>
  <si>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</si>
  <si>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</si>
  <si>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</si>
  <si>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</si>
  <si>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</si>
  <si>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</si>
  <si>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</si>
  <si>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</si>
  <si>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</si>
  <si>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</si>
  <si>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</si>
  <si>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</si>
  <si>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</si>
  <si>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</si>
  <si>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</si>
  <si>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</si>
  <si>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</si>
  <si>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</si>
  <si>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</si>
  <si>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</si>
  <si>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</si>
  <si>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</si>
  <si>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</si>
  <si>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</si>
  <si>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</si>
  <si>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</si>
  <si>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</si>
  <si>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</si>
  <si>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</si>
  <si>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</si>
  <si>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</si>
  <si>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</si>
  <si>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</si>
  <si>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</si>
  <si>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</si>
  <si>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</si>
  <si>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</si>
  <si>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</si>
  <si>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</si>
  <si>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</si>
  <si>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</si>
  <si>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</si>
  <si>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</si>
  <si>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</si>
  <si>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</si>
  <si>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</si>
  <si>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</si>
  <si>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</si>
  <si>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</si>
  <si>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</si>
  <si>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</si>
  <si>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</si>
  <si>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</si>
  <si>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</si>
  <si>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</si>
  <si>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</si>
  <si>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</si>
  <si>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</si>
  <si>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</si>
  <si>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</si>
  <si>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</si>
  <si>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</si>
  <si>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</si>
  <si>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</si>
  <si>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</si>
  <si>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</si>
  <si>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</si>
  <si>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</si>
  <si>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</si>
  <si>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</si>
  <si>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</si>
  <si>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</si>
  <si>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</si>
  <si>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</si>
  <si>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</si>
  <si>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</si>
  <si>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</si>
  <si>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</si>
  <si>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</si>
  <si>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</si>
  <si>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</si>
  <si>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</si>
  <si>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</si>
  <si>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</si>
  <si>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</si>
  <si>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</si>
  <si>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</si>
  <si>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</si>
  <si>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</si>
  <si>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</si>
  <si>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</si>
  <si>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</si>
  <si>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</si>
  <si>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</si>
  <si>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</si>
  <si>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</si>
  <si>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</si>
  <si>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</si>
  <si>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</si>
  <si>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</si>
  <si>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</si>
  <si>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</si>
  <si>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</si>
  <si>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</si>
  <si>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</si>
  <si>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</si>
  <si>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</si>
  <si>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</si>
  <si>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</si>
  <si>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</si>
  <si>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</si>
  <si>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</si>
  <si>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</si>
  <si>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</si>
  <si>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</si>
  <si>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</si>
  <si>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</si>
  <si>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</si>
  <si>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</si>
  <si>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</si>
  <si>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</si>
  <si>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</si>
  <si>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</si>
  <si>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</si>
  <si>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</si>
  <si>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</si>
  <si>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</si>
  <si>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</si>
  <si>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</si>
  <si>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</si>
  <si>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</si>
  <si>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</si>
  <si>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</si>
  <si>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</si>
  <si>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</si>
  <si>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</si>
  <si>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</si>
  <si>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</si>
  <si>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</si>
  <si>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</si>
  <si>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</si>
  <si>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</si>
  <si>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</si>
  <si>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</si>
  <si>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</si>
  <si>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</si>
  <si>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</si>
  <si>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</si>
  <si>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</si>
  <si>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</si>
  <si>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</si>
  <si>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</si>
  <si>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</si>
  <si>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</si>
  <si>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</si>
  <si>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</si>
  <si>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</si>
  <si>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</si>
  <si>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</si>
  <si>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</si>
  <si>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</si>
  <si>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</si>
  <si>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</si>
  <si>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</si>
  <si>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</si>
  <si>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</si>
  <si>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</si>
  <si>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</si>
  <si>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</si>
  <si>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</si>
  <si>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</si>
  <si>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</si>
  <si>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</si>
  <si>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</si>
  <si>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</si>
  <si>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</si>
  <si>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</si>
  <si>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</si>
  <si>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</si>
  <si>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</si>
  <si>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</si>
  <si>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</si>
  <si>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</si>
  <si>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</si>
  <si>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</si>
  <si>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</si>
  <si>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</si>
  <si>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</si>
  <si>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</si>
  <si>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</si>
  <si>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</si>
  <si>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</si>
  <si>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</si>
  <si>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</si>
  <si>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</si>
  <si>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</si>
  <si>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</si>
  <si>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</si>
  <si>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</si>
  <si>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</si>
  <si>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</si>
  <si>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</si>
  <si>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</si>
  <si>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</si>
  <si>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</si>
  <si>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</si>
  <si>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</si>
  <si>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</si>
  <si>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</si>
  <si>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</si>
  <si>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</si>
  <si>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</si>
  <si>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</si>
  <si>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</si>
  <si>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</si>
  <si>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</si>
  <si>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</si>
  <si>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</si>
  <si>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</si>
  <si>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</si>
  <si>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</si>
  <si>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</si>
  <si>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</si>
  <si>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</si>
  <si>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</si>
  <si>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</si>
  <si>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</si>
  <si>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</si>
  <si>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</si>
  <si>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</si>
  <si>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</si>
  <si>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</si>
  <si>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</si>
  <si>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</si>
  <si>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</si>
  <si>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</si>
  <si>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</si>
  <si>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</si>
  <si>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</si>
  <si>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</si>
  <si>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</si>
  <si>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</si>
  <si>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</si>
  <si>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</si>
  <si>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</si>
  <si>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</si>
  <si>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</si>
  <si>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</si>
  <si>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</si>
  <si>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</si>
  <si>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</si>
  <si>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</si>
  <si>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</si>
  <si>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</si>
  <si>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</si>
  <si>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</si>
  <si>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</si>
  <si>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</si>
  <si>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</si>
  <si>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</si>
  <si>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</si>
  <si>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</si>
  <si>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</si>
  <si>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</si>
  <si>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</si>
  <si>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</si>
  <si>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</si>
  <si>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</si>
  <si>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</si>
  <si>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</si>
  <si>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</si>
  <si>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</si>
  <si>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</si>
  <si>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</si>
  <si>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</si>
  <si>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</si>
  <si>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</si>
  <si>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</si>
  <si>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</si>
  <si>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</si>
  <si>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</si>
  <si>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</si>
  <si>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</si>
  <si>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</si>
  <si>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</si>
  <si>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</si>
  <si>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</si>
  <si>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</si>
  <si>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</si>
  <si>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</si>
  <si>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</si>
  <si>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</si>
  <si>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</si>
  <si>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</si>
  <si>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</si>
  <si>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</si>
  <si>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</si>
  <si>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</si>
  <si>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</si>
  <si>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</si>
  <si>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</si>
  <si>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</si>
  <si>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</si>
  <si>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</si>
  <si>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</si>
  <si>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</si>
  <si>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</si>
  <si>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</si>
  <si>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</si>
  <si>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</si>
  <si>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</si>
  <si>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</si>
  <si>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</si>
  <si>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</si>
  <si>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</si>
  <si>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</si>
  <si>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</si>
  <si>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</si>
  <si>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</si>
  <si>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</si>
  <si>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</si>
  <si>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</si>
  <si>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</si>
  <si>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</si>
  <si>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</si>
  <si>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</si>
  <si>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</si>
  <si>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</si>
  <si>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</si>
  <si>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</si>
  <si>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</si>
  <si>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</si>
  <si>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</si>
  <si>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</si>
  <si>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</si>
  <si>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</si>
  <si>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</si>
  <si>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</si>
  <si>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</si>
  <si>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</si>
  <si>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</si>
  <si>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</si>
  <si>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</si>
  <si>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</si>
  <si>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</si>
  <si>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</si>
  <si>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</si>
  <si>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</si>
  <si>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</si>
  <si>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</si>
  <si>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</si>
  <si>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</si>
  <si>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</si>
  <si>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</si>
  <si>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</si>
  <si>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</si>
  <si>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</si>
  <si>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</si>
  <si>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</si>
  <si>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</si>
  <si>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</si>
  <si>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</si>
  <si>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</si>
  <si>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</si>
  <si>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</si>
  <si>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</si>
  <si>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</si>
  <si>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</si>
  <si>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</si>
  <si>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</si>
  <si>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</si>
  <si>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</si>
  <si>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</si>
  <si>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</si>
  <si>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</si>
  <si>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</si>
  <si>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</si>
  <si>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</si>
  <si>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</si>
  <si>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</si>
  <si>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</si>
  <si>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</si>
  <si>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</si>
  <si>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</si>
  <si>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</si>
  <si>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</si>
  <si>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</si>
  <si>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</si>
  <si>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</si>
  <si>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</si>
  <si>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</si>
  <si>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</si>
  <si>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</si>
  <si>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</si>
  <si>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</si>
  <si>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</si>
  <si>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</si>
  <si>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</si>
  <si>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</si>
  <si>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</si>
  <si>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</si>
  <si>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</si>
  <si>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</si>
  <si>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</si>
  <si>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</si>
  <si>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</si>
  <si>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</si>
  <si>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</si>
  <si>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</si>
  <si>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</si>
  <si>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</si>
  <si>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</si>
  <si>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</si>
  <si>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</si>
  <si>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</si>
  <si>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</si>
  <si>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</si>
  <si>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</si>
  <si>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</si>
  <si>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</si>
  <si>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</si>
  <si>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</si>
  <si>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</si>
  <si>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</si>
  <si>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</si>
  <si>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</si>
  <si>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</si>
  <si>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</si>
  <si>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</si>
  <si>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</si>
  <si>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</si>
  <si>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</si>
  <si>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</si>
  <si>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</si>
  <si>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</si>
  <si>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</si>
  <si>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</si>
  <si>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</si>
  <si>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</si>
  <si>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</si>
  <si>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</si>
  <si>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</si>
  <si>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</si>
  <si>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</si>
  <si>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</si>
  <si>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</si>
  <si>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</si>
  <si>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</si>
  <si>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</si>
  <si>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</si>
  <si>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</si>
  <si>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</si>
  <si>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</si>
  <si>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</si>
  <si>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</si>
  <si>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</si>
  <si>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</si>
  <si>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</si>
  <si>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</si>
  <si>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</si>
  <si>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</si>
  <si>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</si>
  <si>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</si>
  <si>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</si>
  <si>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</si>
  <si>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</si>
  <si>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</si>
  <si>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</si>
  <si>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</si>
  <si>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</si>
  <si>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</si>
  <si>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</si>
  <si>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</si>
  <si>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</si>
  <si>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</si>
  <si>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</si>
  <si>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</si>
  <si>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</si>
  <si>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</si>
  <si>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</si>
  <si>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</si>
  <si>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</si>
  <si>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</si>
  <si>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</si>
  <si>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</si>
  <si>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</si>
  <si>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</si>
  <si>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</si>
  <si>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</si>
  <si>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</si>
  <si>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</si>
  <si>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</si>
  <si>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</si>
  <si>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</si>
  <si>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</si>
  <si>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</si>
  <si>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</si>
  <si>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</si>
  <si>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</si>
  <si>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</si>
  <si>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</si>
  <si>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</si>
  <si>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</si>
  <si>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</si>
  <si>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</si>
  <si>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</si>
  <si>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</si>
  <si>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</si>
  <si>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</si>
  <si>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</si>
  <si>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</si>
  <si>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</si>
  <si>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</si>
  <si>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</si>
  <si>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</si>
  <si>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</si>
  <si>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</si>
  <si>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</si>
  <si>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</si>
  <si>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</si>
  <si>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</si>
  <si>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</si>
  <si>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</si>
  <si>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</si>
  <si>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</si>
  <si>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</si>
  <si>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</si>
  <si>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</si>
  <si>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</si>
  <si>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</si>
  <si>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</si>
  <si>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</si>
  <si>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</si>
  <si>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</si>
  <si>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</si>
  <si>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</si>
  <si>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</si>
  <si>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</si>
  <si>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</si>
  <si>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</si>
  <si>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</si>
  <si>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</si>
  <si>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</si>
  <si>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</si>
  <si>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</si>
  <si>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</si>
  <si>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</si>
  <si>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</si>
  <si>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</si>
  <si>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</si>
  <si>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</si>
  <si>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</si>
  <si>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</si>
  <si>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</si>
  <si>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</si>
  <si>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</si>
  <si>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</si>
  <si>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</si>
  <si>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</si>
  <si>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</si>
  <si>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</si>
  <si>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</si>
  <si>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</si>
  <si>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</si>
  <si>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</si>
  <si>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</si>
  <si>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</si>
  <si>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</si>
  <si>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</si>
  <si>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</si>
  <si>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</si>
  <si>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</si>
  <si>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</si>
  <si>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</si>
  <si>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</si>
  <si>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</si>
  <si>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</si>
  <si>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</si>
  <si>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</si>
  <si>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</si>
  <si>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</si>
  <si>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</si>
  <si>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</si>
  <si>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</si>
  <si>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</si>
  <si>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</si>
  <si>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</si>
  <si>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</si>
  <si>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</si>
  <si>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</si>
  <si>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</si>
  <si>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</si>
  <si>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</si>
  <si>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</si>
  <si>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</si>
  <si>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</si>
  <si>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</si>
  <si>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</si>
  <si>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</si>
  <si>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</si>
  <si>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</si>
  <si>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</si>
  <si>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</si>
  <si>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</si>
  <si>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</si>
  <si>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</si>
  <si>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</si>
  <si>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</si>
  <si>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</si>
  <si>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</si>
  <si>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</si>
  <si>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</si>
  <si>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</si>
  <si>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</si>
  <si>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</si>
  <si>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</si>
  <si>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</si>
  <si>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</si>
  <si>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</si>
  <si>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</si>
  <si>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</si>
  <si>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</si>
  <si>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</si>
  <si>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</si>
  <si>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</si>
  <si>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</si>
  <si>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</si>
  <si>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</si>
  <si>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</si>
  <si>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</si>
  <si>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</si>
  <si>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</si>
  <si>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</si>
  <si>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</si>
  <si>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</si>
  <si>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</si>
  <si>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</si>
  <si>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</si>
  <si>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</si>
  <si>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</si>
  <si>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</si>
  <si>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</si>
  <si>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</si>
  <si>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</si>
  <si>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</si>
  <si>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</si>
  <si>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</si>
  <si>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</si>
  <si>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</si>
  <si>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</si>
  <si>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</si>
  <si>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</si>
  <si>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</si>
  <si>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</si>
  <si>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</si>
  <si>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</si>
  <si>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</si>
  <si>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</si>
  <si>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</si>
  <si>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</si>
  <si>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</si>
  <si>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</si>
  <si>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</si>
  <si>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</si>
  <si>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</si>
  <si>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</si>
  <si>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</si>
  <si>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</si>
  <si>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</si>
  <si>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</si>
  <si>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</si>
  <si>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</si>
  <si>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</si>
  <si>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</si>
  <si>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</si>
  <si>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</si>
  <si>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</si>
  <si>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</si>
  <si>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</si>
  <si>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</si>
  <si>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</si>
  <si>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</si>
  <si>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</si>
  <si>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</si>
  <si>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</si>
  <si>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</si>
  <si>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</si>
  <si>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</si>
  <si>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</si>
  <si>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</si>
  <si>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</si>
  <si>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</si>
  <si>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</si>
  <si>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</si>
  <si>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</si>
  <si>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</si>
  <si>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</si>
  <si>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</si>
  <si>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</si>
  <si>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</si>
  <si>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</si>
  <si>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</si>
  <si>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</si>
  <si>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</si>
  <si>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</si>
  <si>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</si>
  <si>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</si>
  <si>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</si>
  <si>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</si>
  <si>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</si>
  <si>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</si>
  <si>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</si>
  <si>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</si>
  <si>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</si>
  <si>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</si>
  <si>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</si>
  <si>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</si>
  <si>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</si>
  <si>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</si>
  <si>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</si>
  <si>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</si>
  <si>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</si>
  <si>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</si>
  <si>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</si>
  <si>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</si>
  <si>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</si>
  <si>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</si>
  <si>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</si>
  <si>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</si>
  <si>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</si>
  <si>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</si>
  <si>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</si>
  <si>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</si>
  <si>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</si>
  <si>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</si>
  <si>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</si>
  <si>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</si>
  <si>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</si>
  <si>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</si>
  <si>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</si>
  <si>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</si>
  <si>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</si>
  <si>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</si>
  <si>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</si>
  <si>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</si>
  <si>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</si>
  <si>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</si>
  <si>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</si>
  <si>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</si>
  <si>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</si>
  <si>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</si>
  <si>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</si>
  <si>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</si>
  <si>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</si>
  <si>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</si>
  <si>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</si>
  <si>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</si>
  <si>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</si>
  <si>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</si>
  <si>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</si>
  <si>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</si>
  <si>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</si>
  <si>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</si>
  <si>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</si>
  <si>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</si>
  <si>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</si>
  <si>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</si>
  <si>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</si>
  <si>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</si>
  <si>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</si>
  <si>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</si>
  <si>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</si>
  <si>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</si>
  <si>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</si>
  <si>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</si>
  <si>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</si>
  <si>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</si>
  <si>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</si>
  <si>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</si>
  <si>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</si>
  <si>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</si>
  <si>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</si>
  <si>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</si>
  <si>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</si>
  <si>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</si>
  <si>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</si>
  <si>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</si>
  <si>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</si>
  <si>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</si>
  <si>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</si>
  <si>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</si>
  <si>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</si>
  <si>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</si>
  <si>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</si>
  <si>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</si>
  <si>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</si>
  <si>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</si>
  <si>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</si>
  <si>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</si>
  <si>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</si>
  <si>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</si>
  <si>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</si>
  <si>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</si>
  <si>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</si>
  <si>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</si>
  <si>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</si>
  <si>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</si>
  <si>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</si>
  <si>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</si>
  <si>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</si>
  <si>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</si>
  <si>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</si>
  <si>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</si>
  <si>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</si>
  <si>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</si>
  <si>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</si>
  <si>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</si>
  <si>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</si>
  <si>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</si>
  <si>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</si>
  <si>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</si>
  <si>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</si>
  <si>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</si>
  <si>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</si>
  <si>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</si>
  <si>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</si>
  <si>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</si>
  <si>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</si>
  <si>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</si>
  <si>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</si>
  <si>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</si>
  <si>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</si>
  <si>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</si>
  <si>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</si>
  <si>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</si>
  <si>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</si>
  <si>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</si>
  <si>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</si>
  <si>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</si>
  <si>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</si>
  <si>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</si>
  <si>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</si>
  <si>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</si>
  <si>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</si>
  <si>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</si>
  <si>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</si>
  <si>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</si>
  <si>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</si>
  <si>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</si>
  <si>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</si>
  <si>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</si>
  <si>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</si>
  <si>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</si>
  <si>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</si>
  <si>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</si>
  <si>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</si>
  <si>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</si>
  <si>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</si>
  <si>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</si>
  <si>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</si>
  <si>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</si>
  <si>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</si>
  <si>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</si>
  <si>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</si>
  <si>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</si>
  <si>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</si>
  <si>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</si>
  <si>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</si>
  <si>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</si>
  <si>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</si>
  <si>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</si>
  <si>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</si>
  <si>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</si>
  <si>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</si>
  <si>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</si>
  <si>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</si>
  <si>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</si>
  <si>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</si>
  <si>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</si>
  <si>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</si>
  <si>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</si>
  <si>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</si>
  <si>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</si>
  <si>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</si>
  <si>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</si>
  <si>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</si>
  <si>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</si>
  <si>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</si>
  <si>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</si>
  <si>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</si>
  <si>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</si>
  <si>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</si>
  <si>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</si>
  <si>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</si>
  <si>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</si>
  <si>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</si>
  <si>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</si>
  <si>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</si>
  <si>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</si>
  <si>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</si>
  <si>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</si>
  <si>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</si>
  <si>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</si>
  <si>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</si>
  <si>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</si>
  <si>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</si>
  <si>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</si>
  <si>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</si>
  <si>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</si>
  <si>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</si>
  <si>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</si>
  <si>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</si>
  <si>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</si>
  <si>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</si>
  <si>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</si>
  <si>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</si>
  <si>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</si>
  <si>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</si>
  <si>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</si>
  <si>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</si>
  <si>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</si>
  <si>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</si>
  <si>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</si>
  <si>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</si>
  <si>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</si>
  <si>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</si>
  <si>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</si>
  <si>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</si>
  <si>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</si>
  <si>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</si>
  <si>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</si>
  <si>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</si>
  <si>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</si>
  <si>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</si>
  <si>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</si>
  <si>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</si>
  <si>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</si>
  <si>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</si>
  <si>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</si>
  <si>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</si>
  <si>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</si>
  <si>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</si>
  <si>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</si>
  <si>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</si>
  <si>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</si>
  <si>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</si>
  <si>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</si>
  <si>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</si>
  <si>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</si>
  <si>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</si>
  <si>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</si>
  <si>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</si>
  <si>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</si>
  <si>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</si>
  <si>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</si>
  <si>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</si>
  <si>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</si>
  <si>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</si>
  <si>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</si>
  <si>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</si>
  <si>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</si>
  <si>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</si>
  <si>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</si>
  <si>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</si>
  <si>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</si>
  <si>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</si>
  <si>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</si>
  <si>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</si>
  <si>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</si>
  <si>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</si>
  <si>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</si>
  <si>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</si>
  <si>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</si>
  <si>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</si>
  <si>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</si>
  <si>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</si>
  <si>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</si>
  <si>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</si>
  <si>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</si>
  <si>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</si>
  <si>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</si>
  <si>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</si>
  <si>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</si>
  <si>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</si>
  <si>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</si>
  <si>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</si>
  <si>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</si>
  <si>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</si>
  <si>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</si>
  <si>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</si>
  <si>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</si>
  <si>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</si>
  <si>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</si>
  <si>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</si>
  <si>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</si>
  <si>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</si>
  <si>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</si>
  <si>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</si>
  <si>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</si>
  <si>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</si>
  <si>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</si>
  <si>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</si>
  <si>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</si>
  <si>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</si>
  <si>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</si>
  <si>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</si>
  <si>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</si>
  <si>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</si>
  <si>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</si>
  <si>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</si>
  <si>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</si>
  <si>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</si>
  <si>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</si>
  <si>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</si>
  <si>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</si>
  <si>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</si>
  <si>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</si>
  <si>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</si>
  <si>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</si>
  <si>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</si>
  <si>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</si>
  <si>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</si>
  <si>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</si>
  <si>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</si>
  <si>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</si>
  <si>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</si>
  <si>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</si>
  <si>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</si>
  <si>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</si>
  <si>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</si>
  <si>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</si>
  <si>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</si>
  <si>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</si>
  <si>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</si>
  <si>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</si>
  <si>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</si>
  <si>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</si>
  <si>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</si>
  <si>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</si>
  <si>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</si>
  <si>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</si>
  <si>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</si>
  <si>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</si>
  <si>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</si>
  <si>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</si>
  <si>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</si>
  <si>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</si>
  <si>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</si>
  <si>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</si>
  <si>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</si>
  <si>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</si>
  <si>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</si>
  <si>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</si>
  <si>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</si>
  <si>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</si>
  <si>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</si>
  <si>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</si>
  <si>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</si>
  <si>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</si>
  <si>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</si>
  <si>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</si>
  <si>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</si>
  <si>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</si>
  <si>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</si>
  <si>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</si>
  <si>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</si>
  <si>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</si>
  <si>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</si>
  <si>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</si>
  <si>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</si>
  <si>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</si>
  <si>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</si>
  <si>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</si>
  <si>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</si>
  <si>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</si>
  <si>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</si>
  <si>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</si>
  <si>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</si>
  <si>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</si>
  <si>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</si>
  <si>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</si>
  <si>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</si>
  <si>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</si>
  <si>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</si>
  <si>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</si>
  <si>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</si>
  <si>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</si>
  <si>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</si>
  <si>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</si>
  <si>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</si>
  <si>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</si>
  <si>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</si>
  <si>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</si>
  <si>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</si>
  <si>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</si>
  <si>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</si>
  <si>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</si>
  <si>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</si>
  <si>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</si>
  <si>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</si>
  <si>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</si>
  <si>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</si>
  <si>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</si>
  <si>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</si>
  <si>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</si>
  <si>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</si>
  <si>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</si>
  <si>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</si>
  <si>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</si>
  <si>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</si>
  <si>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</si>
  <si>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</si>
  <si>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</si>
  <si>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</si>
  <si>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</si>
  <si>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</si>
  <si>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</si>
  <si>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</si>
  <si>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</si>
  <si>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</si>
  <si>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</si>
  <si>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</si>
  <si>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</si>
  <si>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</si>
  <si>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</si>
  <si>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</si>
  <si>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</si>
  <si>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</si>
  <si>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</si>
  <si>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</si>
  <si>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</si>
  <si>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</si>
  <si>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</si>
  <si>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</si>
  <si>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</si>
  <si>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</si>
  <si>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</si>
  <si>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</si>
  <si>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</si>
  <si>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</si>
  <si>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</si>
  <si>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</si>
  <si>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</si>
  <si>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</si>
  <si>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</si>
  <si>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</si>
  <si>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</si>
  <si>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</si>
  <si>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</si>
  <si>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</si>
  <si>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</si>
  <si>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</si>
  <si>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</si>
  <si>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</si>
  <si>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</si>
  <si>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</si>
  <si>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</si>
  <si>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</si>
  <si>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</si>
  <si>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</si>
  <si>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</si>
  <si>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</si>
  <si>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</si>
  <si>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</si>
  <si>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</si>
  <si>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</si>
  <si>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</si>
  <si>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</si>
  <si>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</si>
  <si>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</si>
  <si>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</si>
  <si>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</si>
  <si>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</si>
  <si>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</si>
  <si>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</si>
  <si>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</si>
  <si>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</si>
  <si>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</si>
  <si>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</si>
  <si>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</si>
  <si>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</si>
  <si>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</si>
  <si>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</si>
  <si>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</si>
  <si>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</si>
  <si>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</si>
  <si>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</si>
  <si>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</si>
  <si>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</si>
  <si>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</si>
  <si>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</si>
  <si>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</si>
  <si>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</si>
  <si>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</si>
  <si>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</si>
  <si>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</si>
  <si>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</si>
  <si>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</si>
  <si>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</si>
  <si>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</si>
  <si>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</si>
  <si>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</si>
  <si>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</si>
  <si>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</si>
  <si>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</si>
  <si>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</si>
  <si>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</si>
  <si>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</si>
  <si>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</si>
  <si>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</si>
  <si>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</si>
  <si>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</si>
  <si>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</si>
  <si>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</si>
  <si>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</si>
  <si>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</si>
  <si>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</si>
  <si>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</si>
  <si>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</si>
  <si>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</si>
  <si>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</si>
  <si>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</si>
  <si>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</si>
  <si>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</si>
  <si>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</si>
  <si>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</si>
  <si>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</si>
  <si>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</si>
  <si>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</si>
  <si>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</si>
  <si>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</si>
  <si>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</si>
  <si>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</si>
  <si>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</si>
  <si>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</si>
  <si>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</si>
  <si>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</si>
  <si>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</si>
  <si>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</si>
  <si>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</si>
  <si>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</si>
  <si>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</si>
  <si>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</si>
  <si>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</si>
  <si>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</si>
  <si>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</si>
  <si>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</si>
  <si>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</si>
  <si>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</si>
  <si>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</si>
  <si>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</si>
  <si>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</si>
  <si>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</si>
  <si>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</si>
  <si>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</si>
  <si>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</si>
  <si>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</si>
  <si>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</si>
  <si>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</si>
  <si>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</si>
  <si>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</si>
  <si>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</si>
  <si>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</si>
  <si>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</si>
  <si>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</si>
  <si>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</si>
  <si>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</si>
  <si>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</si>
  <si>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</si>
  <si>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</si>
  <si>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</si>
  <si>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</si>
  <si>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</si>
  <si>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</si>
  <si>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</si>
  <si>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</si>
  <si>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</si>
  <si>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</si>
  <si>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</si>
  <si>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</si>
  <si>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</si>
  <si>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</si>
  <si>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</si>
  <si>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</si>
  <si>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</si>
  <si>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</si>
  <si>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</si>
  <si>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</si>
  <si>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</si>
  <si>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</si>
  <si>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</si>
  <si>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</si>
  <si>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</si>
  <si>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</si>
  <si>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</si>
  <si>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</si>
  <si>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</si>
  <si>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</si>
  <si>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</si>
  <si>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</si>
  <si>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</si>
  <si>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</si>
  <si>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</si>
  <si>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</si>
  <si>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</si>
  <si>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</si>
  <si>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</si>
  <si>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</si>
  <si>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</si>
  <si>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</si>
  <si>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</si>
  <si>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</si>
  <si>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</si>
  <si>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</si>
  <si>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</si>
  <si>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</si>
  <si>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</si>
  <si>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</si>
  <si>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</si>
  <si>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</si>
  <si>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</si>
  <si>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</si>
  <si>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</si>
  <si>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</si>
  <si>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</si>
  <si>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</si>
  <si>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</si>
  <si>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</si>
  <si>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</si>
  <si>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</si>
  <si>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</si>
  <si>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</si>
  <si>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</si>
  <si>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</si>
  <si>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</si>
  <si>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</si>
  <si>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</si>
  <si>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</si>
  <si>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</si>
  <si>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</si>
  <si>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</si>
  <si>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</si>
  <si>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</si>
  <si>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</si>
  <si>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</si>
  <si>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</si>
  <si>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</si>
  <si>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</si>
  <si>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</si>
  <si>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</si>
  <si>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</si>
  <si>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</si>
  <si>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</si>
  <si>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</si>
  <si>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</si>
  <si>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</si>
  <si>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</si>
  <si>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</si>
  <si>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</si>
  <si>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</si>
  <si>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</si>
  <si>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</si>
  <si>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</si>
  <si>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</si>
  <si>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</si>
  <si>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</si>
  <si>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</si>
  <si>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</si>
  <si>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</si>
  <si>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</si>
  <si>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</si>
  <si>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</si>
  <si>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</si>
  <si>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</si>
  <si>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</si>
  <si>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</si>
  <si>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</si>
  <si>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</si>
  <si>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</si>
  <si>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</si>
  <si>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</si>
  <si>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</si>
  <si>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</si>
  <si>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</si>
  <si>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</si>
  <si>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</si>
  <si>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</si>
  <si>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</si>
  <si>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</si>
  <si>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</si>
  <si>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</si>
  <si>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</si>
  <si>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</si>
  <si>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</si>
  <si>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</si>
  <si>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</si>
  <si>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</si>
  <si>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</si>
  <si>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</si>
  <si>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</si>
  <si>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</si>
  <si>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</si>
  <si>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</si>
  <si>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</si>
  <si>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</si>
  <si>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</si>
  <si>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</si>
  <si>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</si>
  <si>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</si>
  <si>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</si>
  <si>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</si>
  <si>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</si>
  <si>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</si>
  <si>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</si>
  <si>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</si>
  <si>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</si>
  <si>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</si>
  <si>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</si>
  <si>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</si>
  <si>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</si>
  <si>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</si>
  <si>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</si>
  <si>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</si>
  <si>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</si>
  <si>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</si>
  <si>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</si>
  <si>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</si>
  <si>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</si>
  <si>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</si>
  <si>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</si>
  <si>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</si>
  <si>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</si>
  <si>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</si>
  <si>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</si>
  <si>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</si>
  <si>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</si>
  <si>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</si>
  <si>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</si>
  <si>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</si>
  <si>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</si>
  <si>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</si>
  <si>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</si>
  <si>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</si>
  <si>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</si>
  <si>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</si>
  <si>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</si>
  <si>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</si>
  <si>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</si>
  <si>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</si>
  <si>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</si>
  <si>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</si>
  <si>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</si>
  <si>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</si>
  <si>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</si>
  <si>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</si>
  <si>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</si>
  <si>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</si>
  <si>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</si>
  <si>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</si>
  <si>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</si>
  <si>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</si>
  <si>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</si>
  <si>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</si>
  <si>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</si>
  <si>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</si>
  <si>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</si>
  <si>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</si>
  <si>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</si>
  <si>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</si>
  <si>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</si>
  <si>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</si>
  <si>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</si>
  <si>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</si>
  <si>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</si>
  <si>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</si>
  <si>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</si>
  <si>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</si>
  <si>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</si>
  <si>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</si>
  <si>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</si>
  <si>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</si>
  <si>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</si>
  <si>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</si>
  <si>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</si>
  <si>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</si>
  <si>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</si>
  <si>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</si>
  <si>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</si>
  <si>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</si>
  <si>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</si>
  <si>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</si>
  <si>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</si>
  <si>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</si>
  <si>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</si>
  <si>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</si>
  <si>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</si>
  <si>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</si>
  <si>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</si>
  <si>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</si>
  <si>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</si>
  <si>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</si>
  <si>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</si>
  <si>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</si>
  <si>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</si>
  <si>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</si>
  <si>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</si>
  <si>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</si>
  <si>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</si>
  <si>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</si>
  <si>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</si>
  <si>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</si>
  <si>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</si>
  <si>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</si>
  <si>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</si>
  <si>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</si>
  <si>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</si>
  <si>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</si>
  <si>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</si>
  <si>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</si>
  <si>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</si>
  <si>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</si>
  <si>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</si>
  <si>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</si>
  <si>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</si>
  <si>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</si>
  <si>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</si>
  <si>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</si>
  <si>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</si>
  <si>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</si>
  <si>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</si>
  <si>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</si>
  <si>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</si>
  <si>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</si>
  <si>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</si>
  <si>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</si>
  <si>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</si>
  <si>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</si>
  <si>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</si>
  <si>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</si>
  <si>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</si>
  <si>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</si>
  <si>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</si>
  <si>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</si>
  <si>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</si>
  <si>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</si>
  <si>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</si>
  <si>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</si>
  <si>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</si>
  <si>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</si>
  <si>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</si>
  <si>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</si>
  <si>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</si>
  <si>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</si>
  <si>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</si>
  <si>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</si>
  <si>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</si>
  <si>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</si>
  <si>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</si>
  <si>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</si>
  <si>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</si>
  <si>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</si>
  <si>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</si>
  <si>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</si>
  <si>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</si>
  <si>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</si>
  <si>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</si>
  <si>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</si>
  <si>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</si>
  <si>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</si>
  <si>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</si>
  <si>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</si>
  <si>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</si>
  <si>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</si>
  <si>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</si>
  <si>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</si>
  <si>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</si>
  <si>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</si>
  <si>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</si>
  <si>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</si>
  <si>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</si>
  <si>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</si>
  <si>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</si>
  <si>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</si>
  <si>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</si>
  <si>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</si>
  <si>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</si>
  <si>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</si>
  <si>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</si>
  <si>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</si>
  <si>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</si>
  <si>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</si>
  <si>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</si>
  <si>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</si>
  <si>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</si>
  <si>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</si>
  <si>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</si>
  <si>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</si>
  <si>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</si>
  <si>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</si>
  <si>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</si>
  <si>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</si>
  <si>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</si>
  <si>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</si>
  <si>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</si>
  <si>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</si>
  <si>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</si>
  <si>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</si>
  <si>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</si>
  <si>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</si>
  <si>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</si>
  <si>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</si>
  <si>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</si>
  <si>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</si>
  <si>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</si>
  <si>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</si>
  <si>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</si>
  <si>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</si>
  <si>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</si>
  <si>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</si>
  <si>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</si>
  <si>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</si>
  <si>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</si>
  <si>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</si>
  <si>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</si>
  <si>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</si>
  <si>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</si>
  <si>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</si>
  <si>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</si>
  <si>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</si>
  <si>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</si>
  <si>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</si>
  <si>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</si>
  <si>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</si>
  <si>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</si>
  <si>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</si>
  <si>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</si>
  <si>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</si>
  <si>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</si>
  <si>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</si>
  <si>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</si>
  <si>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</si>
  <si>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</si>
  <si>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</si>
  <si>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</si>
  <si>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</si>
  <si>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</si>
  <si>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</si>
  <si>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</si>
  <si>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</si>
  <si>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</si>
  <si>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</si>
  <si>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</si>
  <si>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</si>
  <si>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</si>
  <si>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</si>
  <si>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</si>
  <si>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</si>
  <si>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</si>
  <si>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</si>
  <si>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</si>
  <si>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</si>
  <si>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</si>
  <si>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</si>
  <si>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</si>
  <si>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</si>
  <si>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</si>
  <si>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</si>
  <si>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</si>
  <si>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</si>
  <si>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</si>
  <si>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</si>
  <si>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</si>
  <si>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</si>
  <si>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</si>
  <si>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</si>
  <si>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</si>
  <si>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</si>
  <si>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</si>
  <si>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</si>
  <si>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</si>
  <si>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</si>
  <si>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</si>
  <si>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</si>
  <si>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</si>
  <si>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</si>
  <si>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</si>
  <si>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</si>
  <si>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</si>
  <si>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</si>
  <si>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</si>
  <si>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</si>
  <si>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</si>
  <si>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</si>
  <si>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</si>
  <si>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</si>
  <si>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</si>
  <si>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</si>
  <si>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</si>
  <si>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</si>
  <si>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</si>
  <si>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</si>
  <si>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</si>
  <si>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</si>
  <si>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</si>
  <si>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</si>
  <si>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</si>
  <si>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</si>
  <si>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</si>
  <si>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</si>
  <si>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</si>
  <si>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</si>
  <si>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</si>
  <si>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</si>
  <si>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</si>
  <si>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</si>
  <si>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</si>
  <si>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</si>
  <si>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</si>
  <si>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</si>
  <si>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</si>
  <si>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</si>
  <si>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</si>
  <si>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</si>
  <si>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</si>
  <si>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</si>
  <si>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</si>
  <si>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</si>
  <si>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</si>
  <si>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</si>
  <si>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</si>
  <si>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</si>
  <si>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</si>
  <si>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</si>
  <si>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</si>
  <si>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</si>
  <si>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</si>
  <si>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</si>
  <si>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</si>
  <si>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</si>
  <si>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</si>
  <si>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</si>
  <si>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</si>
  <si>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</si>
  <si>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</si>
  <si>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</si>
  <si>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</si>
  <si>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</si>
  <si>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</si>
  <si>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</si>
  <si>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</si>
  <si>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</si>
  <si>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</si>
  <si>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</si>
  <si>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</si>
  <si>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</si>
  <si>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</si>
  <si>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</si>
  <si>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</si>
  <si>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</si>
  <si>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</si>
  <si>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</si>
  <si>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</si>
  <si>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</si>
  <si>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</si>
  <si>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</si>
  <si>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</si>
  <si>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</si>
  <si>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</si>
  <si>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</si>
  <si>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</si>
  <si>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</si>
  <si>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</si>
  <si>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</si>
  <si>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</si>
  <si>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</si>
  <si>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</si>
  <si>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</si>
  <si>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</si>
  <si>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</si>
  <si>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</si>
  <si>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</si>
  <si>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</si>
  <si>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</si>
  <si>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</si>
  <si>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</si>
  <si>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</si>
  <si>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</si>
  <si>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</si>
  <si>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</si>
  <si>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</si>
  <si>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</si>
  <si>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</si>
  <si>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</si>
  <si>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</si>
  <si>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</si>
  <si>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</si>
  <si>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</si>
  <si>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</si>
  <si>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</si>
  <si>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</si>
  <si>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</si>
  <si>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</si>
  <si>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</si>
  <si>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</si>
  <si>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</si>
  <si>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</si>
  <si>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</si>
  <si>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</si>
  <si>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</si>
  <si>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</si>
  <si>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</si>
  <si>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</si>
  <si>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</si>
  <si>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</si>
  <si>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</si>
  <si>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</si>
  <si>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</si>
  <si>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</si>
  <si>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</si>
  <si>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</si>
  <si>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</si>
  <si>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</si>
  <si>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</si>
  <si>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</si>
  <si>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</si>
  <si>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</si>
  <si>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</si>
  <si>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</si>
  <si>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</si>
  <si>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</si>
  <si>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</si>
  <si>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</si>
  <si>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</si>
  <si>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</si>
  <si>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</si>
  <si>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</si>
  <si>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</si>
  <si>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</si>
  <si>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</si>
  <si>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</si>
  <si>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</si>
  <si>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</si>
  <si>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</si>
  <si>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</si>
  <si>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</si>
  <si>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</si>
  <si>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</si>
  <si>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</si>
  <si>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</si>
  <si>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</si>
  <si>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</si>
  <si>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</si>
  <si>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</si>
  <si>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</si>
  <si>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</si>
  <si>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</si>
  <si>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</si>
  <si>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</si>
  <si>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</si>
  <si>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</si>
  <si>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</si>
  <si>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</si>
  <si>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</si>
  <si>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</si>
  <si>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</si>
  <si>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</si>
  <si>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</si>
  <si>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</si>
  <si>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</si>
  <si>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</si>
  <si>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</si>
  <si>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</si>
  <si>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</si>
  <si>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</si>
  <si>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</si>
  <si>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</si>
  <si>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</si>
  <si>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</si>
  <si>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</si>
  <si>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</si>
  <si>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</si>
  <si>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</si>
  <si>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</si>
  <si>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</si>
  <si>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</si>
  <si>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</si>
  <si>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</si>
  <si>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</si>
  <si>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</si>
  <si>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</si>
  <si>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</si>
  <si>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</si>
  <si>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</si>
  <si>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</si>
  <si>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</si>
  <si>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</si>
  <si>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</si>
  <si>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</si>
  <si>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</si>
  <si>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</si>
  <si>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</si>
  <si>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</si>
  <si>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</si>
  <si>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</si>
  <si>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</si>
  <si>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</si>
  <si>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</si>
  <si>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</si>
  <si>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</si>
  <si>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</si>
  <si>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</si>
  <si>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</si>
  <si>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</si>
  <si>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</si>
  <si>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</si>
  <si>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</si>
  <si>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</si>
  <si>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</si>
  <si>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</si>
  <si>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</si>
  <si>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</si>
  <si>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</si>
  <si>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</si>
  <si>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</si>
  <si>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</si>
  <si>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</si>
  <si>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</si>
  <si>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</si>
  <si>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</si>
  <si>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</si>
  <si>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</si>
  <si>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</si>
  <si>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</si>
  <si>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</si>
  <si>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</si>
  <si>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</si>
  <si>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</si>
  <si>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</si>
  <si>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</si>
  <si>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</si>
  <si>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</si>
  <si>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</si>
  <si>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</si>
  <si>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</si>
  <si>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</si>
  <si>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</si>
  <si>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</si>
  <si>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</si>
  <si>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</si>
  <si>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</si>
  <si>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</si>
  <si>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</si>
  <si>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</si>
  <si>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</si>
  <si>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</si>
  <si>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</si>
  <si>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</si>
  <si>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</si>
  <si>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</si>
  <si>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</si>
  <si>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</si>
  <si>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</si>
  <si>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</si>
  <si>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</si>
  <si>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</si>
  <si>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</si>
  <si>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</si>
  <si>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</si>
  <si>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</si>
  <si>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</si>
  <si>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</si>
  <si>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</si>
  <si>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</si>
  <si>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</si>
  <si>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</si>
  <si>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</si>
  <si>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</si>
  <si>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</si>
  <si>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</si>
  <si>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</si>
  <si>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</si>
  <si>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</si>
  <si>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</si>
  <si>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</si>
  <si>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</si>
  <si>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</si>
  <si>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</si>
  <si>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</si>
  <si>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</si>
  <si>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</si>
  <si>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</si>
  <si>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</si>
  <si>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</si>
  <si>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</si>
  <si>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</si>
  <si>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</si>
  <si>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</si>
  <si>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</si>
  <si>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</si>
  <si>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</si>
  <si>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</si>
  <si>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</si>
  <si>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</si>
  <si>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</si>
  <si>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</si>
  <si>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</si>
  <si>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</si>
  <si>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</si>
  <si>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</si>
  <si>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</si>
  <si>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</si>
  <si>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</si>
  <si>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</si>
  <si>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</si>
  <si>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</si>
  <si>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</si>
  <si>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</si>
  <si>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</si>
  <si>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</si>
  <si>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</si>
  <si>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</si>
  <si>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</si>
  <si>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</si>
  <si>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</si>
  <si>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</si>
  <si>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</si>
  <si>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</si>
  <si>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</si>
  <si>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</si>
  <si>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</si>
  <si>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</si>
  <si>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</si>
  <si>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</si>
  <si>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</si>
  <si>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</si>
  <si>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</si>
  <si>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</si>
  <si>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</si>
  <si>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</si>
  <si>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</si>
  <si>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</si>
  <si>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</si>
  <si>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</si>
  <si>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</si>
  <si>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</si>
  <si>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</si>
  <si>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</si>
  <si>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</si>
  <si>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</si>
  <si>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</si>
  <si>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</si>
  <si>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</si>
  <si>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</si>
  <si>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</si>
  <si>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</si>
  <si>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</si>
  <si>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</si>
  <si>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</si>
  <si>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</si>
  <si>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</si>
  <si>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</si>
  <si>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</si>
  <si>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</si>
  <si>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</si>
  <si>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</si>
  <si>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</si>
  <si>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</si>
  <si>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</si>
  <si>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</si>
  <si>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</si>
  <si>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</si>
  <si>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</si>
  <si>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</si>
  <si>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</si>
  <si>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</si>
  <si>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</si>
  <si>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</si>
  <si>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</si>
  <si>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</si>
  <si>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</si>
  <si>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</si>
  <si>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</si>
  <si>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</si>
  <si>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</si>
  <si>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</si>
  <si>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</si>
  <si>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</si>
  <si>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</si>
  <si>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</si>
  <si>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</si>
  <si>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</si>
  <si>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</si>
  <si>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</si>
  <si>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</si>
  <si>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</si>
  <si>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</si>
  <si>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</si>
  <si>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</si>
  <si>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</si>
  <si>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</si>
  <si>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</si>
  <si>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</si>
  <si>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</si>
  <si>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</si>
  <si>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</si>
  <si>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</si>
  <si>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</si>
  <si>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</si>
  <si>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</si>
  <si>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</si>
  <si>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</si>
  <si>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</si>
  <si>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</si>
  <si>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</si>
  <si>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</si>
  <si>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</si>
  <si>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</si>
  <si>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</si>
  <si>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</si>
  <si>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</si>
  <si>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</si>
  <si>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</si>
  <si>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</si>
  <si>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</si>
  <si>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</si>
  <si>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</si>
  <si>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</si>
  <si>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</si>
  <si>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</si>
  <si>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</si>
  <si>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</si>
  <si>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</si>
  <si>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</si>
  <si>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</si>
  <si>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</si>
  <si>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</si>
  <si>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</si>
  <si>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</si>
  <si>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</si>
  <si>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</si>
  <si>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</si>
  <si>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</si>
  <si>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</si>
  <si>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</si>
  <si>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</si>
  <si>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</si>
  <si>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</si>
  <si>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</si>
  <si>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</si>
  <si>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</si>
  <si>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</si>
  <si>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</si>
  <si>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</si>
  <si>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</si>
  <si>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</si>
  <si>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</si>
  <si>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</si>
  <si>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</si>
  <si>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</si>
  <si>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</si>
  <si>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</si>
  <si>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</si>
  <si>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</si>
  <si>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</si>
  <si>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</si>
  <si>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</si>
  <si>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</si>
  <si>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</si>
  <si>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</si>
  <si>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</si>
  <si>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</si>
  <si>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</si>
  <si>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</si>
  <si>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</si>
  <si>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</si>
  <si>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</si>
  <si>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</si>
  <si>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</si>
  <si>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</si>
  <si>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</si>
  <si>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</si>
  <si>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</si>
  <si>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</si>
  <si>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</si>
  <si>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</si>
  <si>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</si>
  <si>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</si>
  <si>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</si>
  <si>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</si>
  <si>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</si>
  <si>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</si>
  <si>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</si>
  <si>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</si>
  <si>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</si>
  <si>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</si>
  <si>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</si>
  <si>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</si>
  <si>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</si>
  <si>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</si>
  <si>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</si>
  <si>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</si>
  <si>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</si>
  <si>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</si>
  <si>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</si>
  <si>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</si>
  <si>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</si>
  <si>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</si>
  <si>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</si>
  <si>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</si>
  <si>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</si>
  <si>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</si>
  <si>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</si>
  <si>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</si>
  <si>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</si>
  <si>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</si>
  <si>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</si>
  <si>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</si>
  <si>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</si>
  <si>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</si>
  <si>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</si>
  <si>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</si>
  <si>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</si>
  <si>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</si>
  <si>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</si>
  <si>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</si>
  <si>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</si>
  <si>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</si>
  <si>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</si>
  <si>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</si>
  <si>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</si>
  <si>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</si>
  <si>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</si>
  <si>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</si>
  <si>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</si>
  <si>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</si>
  <si>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</si>
  <si>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</si>
  <si>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</si>
  <si>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</si>
  <si>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</si>
  <si>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</si>
  <si>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</si>
  <si>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</si>
  <si>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</si>
  <si>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</si>
  <si>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</si>
  <si>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</si>
  <si>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</si>
  <si>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</si>
  <si>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</si>
  <si>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</si>
  <si>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</si>
  <si>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</si>
  <si>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</si>
  <si>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</si>
  <si>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</si>
  <si>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</si>
  <si>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</si>
  <si>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</si>
  <si>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</si>
  <si>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</si>
  <si>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</si>
  <si>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</si>
  <si>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</si>
  <si>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</si>
  <si>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</si>
  <si>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</si>
  <si>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</si>
  <si>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</si>
  <si>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</si>
  <si>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</si>
  <si>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</si>
  <si>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</si>
  <si>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</si>
  <si>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</si>
  <si>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</si>
  <si>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</si>
  <si>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</si>
  <si>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</si>
  <si>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</si>
  <si>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</si>
  <si>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</si>
  <si>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</si>
  <si>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</si>
  <si>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</si>
  <si>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</si>
  <si>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</si>
  <si>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</si>
  <si>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</si>
  <si>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</si>
  <si>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</si>
  <si>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</si>
  <si>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</si>
  <si>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</si>
  <si>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</si>
  <si>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</si>
  <si>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</si>
  <si>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</si>
  <si>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</si>
  <si>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</si>
  <si>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</si>
  <si>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</si>
  <si>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</si>
  <si>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</si>
  <si>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</si>
  <si>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</si>
  <si>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</si>
  <si>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</si>
  <si>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</si>
  <si>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</si>
  <si>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</si>
  <si>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</si>
  <si>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</si>
  <si>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</si>
  <si>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</si>
  <si>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</si>
  <si>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</si>
  <si>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</si>
  <si>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</si>
  <si>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</si>
  <si>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</si>
  <si>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</si>
  <si>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</si>
  <si>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</si>
  <si>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</si>
  <si>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</si>
  <si>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</si>
  <si>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</si>
  <si>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</si>
  <si>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</si>
  <si>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</si>
  <si>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</si>
  <si>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</si>
  <si>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</si>
  <si>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</si>
  <si>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</si>
  <si>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</si>
  <si>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</si>
  <si>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</si>
  <si>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</si>
  <si>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</si>
  <si>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</si>
  <si>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</si>
  <si>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</si>
  <si>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</si>
  <si>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</si>
  <si>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</si>
  <si>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</si>
  <si>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</si>
  <si>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</si>
  <si>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</si>
  <si>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</si>
  <si>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</si>
  <si>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</si>
  <si>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</si>
  <si>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</si>
  <si>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</si>
  <si>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</si>
  <si>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</si>
  <si>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</si>
  <si>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</si>
  <si>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</si>
  <si>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</si>
  <si>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</si>
  <si>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</si>
  <si>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</si>
  <si>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</si>
  <si>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</si>
  <si>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</si>
  <si>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</si>
  <si>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</si>
  <si>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</si>
  <si>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</si>
  <si>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</si>
  <si>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</si>
  <si>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</si>
  <si>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</si>
  <si>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</si>
  <si>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</si>
  <si>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</si>
  <si>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</si>
  <si>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</si>
  <si>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</si>
  <si>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</si>
  <si>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</si>
  <si>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</si>
  <si>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</si>
  <si>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</si>
  <si>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</si>
  <si>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</si>
  <si>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</si>
  <si>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</si>
  <si>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</si>
  <si>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</si>
  <si>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</si>
  <si>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</si>
  <si>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</si>
  <si>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</si>
  <si>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</si>
  <si>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</si>
  <si>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</si>
  <si>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</si>
  <si>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</si>
  <si>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</si>
  <si>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</si>
  <si>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</si>
  <si>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</si>
  <si>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</si>
  <si>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</si>
  <si>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</si>
  <si>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</si>
  <si>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</si>
  <si>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</si>
  <si>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</si>
  <si>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</si>
  <si>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</si>
  <si>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</si>
  <si>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</si>
  <si>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</si>
  <si>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</si>
  <si>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</si>
  <si>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</si>
  <si>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</si>
  <si>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</si>
  <si>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</si>
  <si>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</si>
  <si>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</si>
  <si>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</si>
  <si>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</si>
  <si>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</si>
  <si>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</si>
  <si>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</si>
  <si>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</si>
  <si>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</si>
  <si>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</si>
  <si>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</si>
  <si>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</si>
  <si>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</si>
  <si>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</si>
  <si>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</si>
  <si>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</si>
  <si>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</si>
  <si>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</si>
  <si>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</si>
  <si>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</si>
  <si>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</si>
  <si>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</si>
  <si>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</si>
  <si>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</si>
  <si>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</si>
  <si>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</si>
  <si>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</si>
  <si>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</si>
  <si>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</si>
  <si>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</si>
  <si>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</si>
  <si>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</si>
  <si>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</si>
  <si>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</si>
  <si>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</si>
  <si>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</si>
  <si>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</si>
  <si>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</si>
  <si>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</si>
  <si>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</si>
  <si>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</si>
  <si>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</si>
  <si>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</si>
  <si>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</si>
  <si>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</si>
  <si>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</si>
  <si>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</si>
  <si>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</si>
  <si>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</si>
  <si>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</si>
  <si>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</si>
  <si>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</si>
  <si>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</si>
  <si>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</si>
  <si>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</si>
  <si>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</si>
  <si>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</si>
  <si>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</si>
  <si>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</si>
  <si>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</si>
  <si>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</si>
  <si>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</si>
  <si>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</si>
  <si>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</si>
  <si>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</si>
  <si>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</si>
  <si>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</si>
  <si>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</si>
  <si>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</si>
  <si>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</si>
  <si>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</si>
  <si>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</si>
  <si>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</si>
  <si>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</si>
  <si>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</si>
  <si>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</si>
  <si>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</si>
  <si>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</si>
  <si>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</si>
  <si>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</si>
  <si>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</si>
  <si>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</si>
  <si>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</si>
  <si>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</si>
  <si>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</si>
  <si>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</si>
  <si>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</si>
  <si>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</si>
  <si>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</si>
  <si>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</si>
  <si>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</si>
  <si>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</si>
  <si>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</si>
  <si>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</si>
  <si>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</si>
  <si>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</si>
  <si>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</si>
  <si>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</si>
  <si>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</si>
  <si>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</si>
  <si>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</si>
  <si>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</si>
  <si>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</si>
  <si>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</si>
  <si>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</si>
  <si>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</si>
  <si>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</si>
  <si>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</si>
  <si>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</si>
  <si>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</si>
  <si>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</si>
  <si>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</si>
  <si>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</si>
  <si>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</si>
  <si>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</si>
  <si>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</si>
  <si>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</si>
  <si>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</si>
  <si>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</si>
  <si>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</si>
  <si>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</si>
  <si>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</si>
  <si>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</si>
  <si>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</si>
  <si>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</si>
  <si>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</si>
  <si>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</si>
  <si>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</si>
  <si>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</si>
  <si>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</si>
  <si>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</si>
  <si>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</si>
  <si>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</si>
  <si>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</si>
  <si>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</si>
  <si>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</si>
  <si>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</si>
  <si>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</si>
  <si>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</si>
  <si>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</si>
  <si>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</si>
  <si>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</si>
  <si>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</si>
  <si>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</si>
  <si>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</si>
  <si>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</si>
  <si>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</si>
  <si>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</si>
  <si>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</si>
  <si>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</si>
  <si>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</si>
  <si>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</si>
  <si>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</si>
  <si>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</si>
  <si>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</si>
  <si>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</si>
  <si>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</si>
  <si>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</si>
  <si>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</si>
  <si>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</si>
  <si>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</si>
  <si>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</si>
  <si>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</si>
  <si>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</si>
  <si>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</si>
  <si>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</si>
  <si>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</si>
  <si>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</si>
  <si>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</si>
  <si>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</si>
  <si>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</si>
  <si>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</si>
  <si>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</si>
  <si>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</si>
  <si>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</si>
  <si>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</si>
  <si>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</si>
  <si>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</si>
  <si>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</si>
  <si>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</si>
  <si>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</si>
  <si>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</si>
  <si>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</si>
  <si>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</si>
  <si>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</si>
  <si>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</si>
  <si>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</si>
  <si>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</si>
  <si>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</si>
  <si>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</si>
  <si>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</si>
  <si>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</si>
  <si>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</si>
  <si>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</si>
  <si>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</si>
  <si>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</si>
  <si>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</si>
  <si>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</si>
  <si>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</si>
  <si>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</si>
  <si>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</si>
  <si>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</si>
  <si>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</si>
  <si>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</si>
  <si>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</si>
  <si>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</si>
  <si>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</si>
  <si>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</si>
  <si>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</si>
  <si>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</si>
  <si>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</si>
  <si>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</si>
  <si>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</si>
  <si>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</si>
  <si>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</si>
  <si>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</si>
  <si>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</si>
  <si>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</si>
  <si>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</si>
  <si>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</si>
  <si>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</si>
  <si>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</si>
  <si>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</si>
  <si>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</si>
  <si>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</si>
  <si>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</si>
  <si>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</si>
  <si>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</si>
  <si>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</si>
  <si>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</si>
  <si>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</si>
  <si>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</si>
  <si>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</si>
  <si>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</si>
  <si>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</si>
  <si>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</si>
  <si>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</si>
  <si>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</si>
  <si>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</si>
  <si>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</si>
  <si>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</si>
  <si>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</si>
  <si>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</si>
  <si>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</si>
  <si>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</si>
  <si>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</si>
  <si>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</si>
  <si>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</si>
  <si>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</si>
  <si>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</si>
  <si>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</si>
  <si>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</si>
  <si>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</si>
  <si>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</si>
  <si>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</si>
  <si>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</si>
  <si>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</si>
  <si>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</si>
  <si>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</si>
  <si>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</si>
  <si>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</si>
  <si>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</si>
  <si>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</si>
  <si>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</si>
  <si>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</si>
  <si>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</si>
  <si>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</si>
  <si>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</si>
  <si>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</si>
  <si>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</si>
  <si>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</si>
  <si>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</si>
  <si>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</si>
  <si>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</si>
  <si>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</si>
  <si>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</si>
  <si>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</si>
  <si>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</si>
  <si>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</si>
  <si>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</si>
  <si>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</si>
  <si>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</si>
  <si>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</si>
  <si>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</si>
  <si>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</si>
  <si>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</si>
  <si>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</si>
  <si>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</si>
  <si>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</si>
  <si>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</si>
  <si>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</si>
  <si>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</si>
  <si>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</si>
  <si>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</si>
  <si>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</si>
  <si>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</si>
  <si>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</si>
  <si>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</si>
  <si>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</si>
  <si>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</si>
  <si>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</si>
  <si>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</si>
  <si>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</si>
  <si>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</si>
  <si>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</si>
  <si>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</si>
  <si>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</si>
  <si>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</si>
  <si>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</si>
  <si>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</si>
  <si>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</si>
  <si>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</si>
  <si>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</si>
  <si>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</si>
  <si>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</si>
  <si>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</si>
  <si>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</si>
  <si>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</si>
  <si>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</si>
  <si>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</si>
  <si>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</si>
  <si>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</si>
  <si>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</si>
  <si>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</si>
  <si>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</si>
  <si>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</si>
  <si>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</si>
  <si>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</si>
  <si>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</si>
  <si>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</si>
  <si>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</si>
  <si>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</si>
  <si>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</si>
  <si>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</si>
  <si>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</si>
  <si>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</si>
  <si>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</si>
  <si>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</si>
  <si>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</si>
  <si>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</si>
  <si>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</si>
  <si>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</si>
  <si>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</si>
  <si>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</si>
  <si>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</si>
  <si>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</si>
  <si>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</si>
  <si>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</si>
  <si>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</si>
  <si>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</si>
  <si>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</si>
  <si>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</si>
  <si>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</si>
  <si>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</si>
  <si>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</si>
  <si>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</si>
  <si>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</si>
  <si>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</si>
  <si>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</si>
  <si>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</si>
  <si>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</si>
  <si>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</si>
  <si>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</si>
  <si>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</si>
  <si>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</si>
  <si>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</si>
  <si>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</si>
  <si>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</si>
  <si>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</si>
  <si>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</si>
  <si>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</si>
  <si>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</si>
  <si>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</si>
  <si>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</si>
  <si>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</si>
  <si>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</si>
  <si>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</si>
  <si>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</si>
  <si>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</si>
  <si>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</si>
  <si>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</si>
  <si>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</si>
  <si>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</si>
  <si>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</si>
  <si>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</si>
  <si>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</si>
  <si>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</si>
  <si>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</si>
  <si>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</si>
  <si>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</si>
  <si>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</si>
  <si>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</si>
  <si>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</si>
  <si>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</si>
  <si>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</si>
  <si>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</si>
  <si>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</si>
  <si>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</si>
  <si>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</si>
  <si>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</si>
  <si>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</si>
  <si>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</si>
  <si>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</si>
  <si>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</si>
  <si>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</si>
  <si>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</si>
  <si>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</si>
  <si>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</si>
  <si>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</si>
  <si>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</si>
  <si>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</si>
  <si>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</si>
  <si>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</si>
  <si>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</si>
  <si>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</si>
  <si>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</si>
  <si>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</si>
  <si>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</si>
  <si>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</si>
  <si>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</si>
  <si>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</si>
  <si>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</si>
  <si>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</si>
  <si>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</si>
  <si>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</si>
  <si>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</si>
  <si>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</si>
  <si>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</si>
  <si>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</si>
  <si>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</si>
  <si>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</si>
  <si>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</si>
  <si>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</si>
  <si>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</si>
  <si>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</si>
  <si>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</si>
  <si>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</si>
  <si>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</si>
  <si>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</si>
  <si>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</si>
  <si>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</si>
  <si>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</si>
  <si>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</si>
  <si>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</si>
  <si>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</si>
  <si>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</si>
  <si>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</si>
  <si>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</si>
  <si>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</si>
  <si>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</si>
  <si>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</si>
  <si>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</si>
  <si>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</si>
  <si>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</si>
  <si>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</si>
  <si>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</si>
  <si>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</si>
  <si>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</si>
  <si>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</si>
  <si>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</si>
  <si>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</si>
  <si>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</si>
  <si>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</si>
  <si>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</si>
  <si>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</si>
  <si>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</si>
  <si>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</si>
  <si>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</si>
  <si>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</si>
  <si>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</si>
  <si>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</si>
  <si>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</si>
  <si>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</si>
  <si>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</si>
  <si>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</si>
  <si>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</si>
  <si>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</si>
  <si>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</si>
  <si>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</si>
  <si>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</si>
  <si>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</si>
  <si>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</si>
  <si>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</si>
  <si>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</si>
  <si>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</si>
  <si>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</si>
  <si>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</si>
  <si>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</si>
  <si>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</si>
  <si>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</si>
  <si>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</si>
  <si>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</si>
  <si>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</si>
  <si>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</si>
  <si>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</si>
  <si>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</si>
  <si>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</si>
  <si>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</si>
  <si>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</si>
  <si>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</si>
  <si>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</si>
  <si>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</si>
  <si>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</si>
  <si>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</si>
  <si>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</si>
  <si>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</si>
  <si>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</si>
  <si>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</si>
  <si>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</si>
  <si>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</si>
  <si>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</si>
  <si>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</si>
  <si>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</si>
  <si>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</si>
  <si>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</si>
  <si>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</si>
  <si>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</si>
  <si>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</si>
  <si>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</si>
  <si>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</si>
  <si>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</si>
  <si>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</si>
  <si>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</si>
  <si>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</si>
  <si>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</si>
  <si>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</si>
  <si>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</si>
  <si>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</si>
  <si>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</si>
  <si>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</si>
  <si>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</si>
  <si>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</si>
  <si>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</si>
  <si>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</si>
  <si>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</si>
  <si>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</si>
  <si>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</si>
  <si>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</si>
  <si>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</si>
  <si>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</si>
  <si>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</si>
  <si>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</si>
  <si>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</si>
  <si>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</si>
  <si>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</si>
  <si>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</si>
  <si>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</si>
  <si>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</si>
  <si>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</si>
  <si>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</si>
  <si>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</si>
  <si>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</si>
  <si>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</si>
  <si>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</si>
  <si>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</si>
  <si>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</si>
  <si>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</si>
  <si>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</si>
  <si>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</si>
  <si>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</si>
  <si>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</si>
  <si>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</si>
  <si>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</si>
  <si>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</si>
  <si>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</si>
  <si>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</si>
  <si>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</si>
  <si>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</si>
  <si>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</si>
  <si>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</si>
  <si>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</si>
  <si>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</si>
  <si>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</si>
  <si>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</si>
  <si>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</si>
  <si>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</si>
  <si>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</si>
  <si>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</si>
  <si>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</si>
  <si>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</si>
  <si>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</si>
  <si>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</si>
  <si>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</si>
  <si>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</si>
  <si>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</si>
  <si>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</si>
  <si>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</si>
  <si>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</si>
  <si>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</si>
  <si>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</si>
  <si>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</si>
  <si>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</si>
  <si>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</si>
  <si>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</si>
  <si>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</si>
  <si>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</si>
  <si>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</si>
  <si>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</si>
  <si>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</si>
  <si>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</si>
  <si>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</si>
  <si>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</si>
  <si>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</si>
  <si>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</si>
  <si>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</si>
  <si>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</si>
  <si>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</si>
  <si>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</si>
  <si>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</si>
  <si>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</si>
  <si>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</si>
  <si>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</si>
  <si>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</si>
  <si>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</si>
  <si>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</si>
  <si>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</si>
  <si>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</si>
  <si>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</si>
  <si>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</si>
  <si>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</si>
  <si>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</si>
  <si>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</si>
  <si>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</si>
  <si>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</si>
  <si>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</si>
  <si>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</si>
  <si>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</si>
  <si>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</si>
  <si>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</si>
  <si>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</si>
  <si>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</si>
  <si>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</si>
  <si>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</si>
  <si>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</si>
  <si>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</si>
  <si>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</si>
  <si>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</si>
  <si>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</si>
  <si>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</si>
  <si>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</si>
  <si>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</si>
  <si>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</si>
  <si>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</si>
  <si>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</si>
  <si>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</si>
  <si>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</si>
  <si>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</si>
  <si>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</si>
  <si>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</si>
  <si>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</si>
  <si>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</si>
  <si>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</si>
  <si>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</si>
  <si>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</si>
  <si>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</si>
  <si>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</si>
  <si>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</si>
  <si>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</si>
  <si>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</si>
  <si>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</si>
  <si>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</si>
  <si>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</si>
  <si>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</si>
  <si>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</si>
  <si>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</si>
  <si>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</si>
  <si>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</si>
  <si>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</si>
  <si>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</si>
  <si>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</si>
  <si>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</si>
  <si>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</si>
  <si>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</si>
  <si>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</si>
  <si>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</si>
  <si>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</si>
  <si>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</si>
  <si>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</si>
  <si>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</si>
  <si>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</si>
  <si>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</si>
  <si>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</si>
  <si>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</si>
  <si>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</si>
  <si>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</si>
  <si>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</si>
  <si>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</si>
  <si>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</si>
  <si>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</si>
  <si>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</si>
  <si>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</si>
  <si>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</si>
  <si>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</si>
  <si>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</si>
  <si>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</si>
  <si>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</si>
  <si>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</si>
  <si>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</si>
  <si>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</si>
  <si>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</si>
  <si>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</si>
  <si>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</si>
  <si>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</si>
  <si>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</si>
  <si>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</si>
  <si>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</si>
  <si>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</si>
  <si>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</si>
  <si>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</si>
  <si>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</si>
  <si>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</si>
  <si>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</si>
  <si>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</si>
  <si>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</si>
  <si>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</si>
  <si>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</si>
  <si>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</si>
  <si>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</si>
  <si>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</si>
  <si>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</si>
  <si>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</si>
  <si>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</si>
  <si>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</si>
  <si>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</si>
  <si>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</si>
  <si>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</si>
  <si>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</si>
  <si>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</si>
  <si>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</si>
  <si>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</si>
  <si>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</si>
  <si>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</si>
  <si>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</si>
  <si>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</si>
  <si>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</si>
  <si>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</si>
  <si>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</si>
  <si>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</si>
  <si>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</si>
  <si>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</si>
  <si>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</si>
  <si>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</si>
  <si>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</si>
  <si>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</si>
  <si>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</si>
  <si>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</si>
  <si>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</si>
  <si>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</si>
  <si>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</si>
  <si>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</si>
  <si>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</si>
  <si>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</si>
  <si>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</si>
  <si>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</si>
  <si>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</si>
  <si>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</si>
  <si>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</si>
  <si>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</si>
  <si>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</si>
  <si>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</si>
  <si>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</si>
  <si>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</si>
  <si>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</si>
  <si>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</si>
  <si>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</si>
  <si>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</si>
  <si>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</si>
  <si>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</si>
  <si>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</si>
  <si>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</si>
  <si>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</si>
  <si>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</si>
  <si>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</si>
  <si>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</si>
  <si>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</si>
  <si>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</si>
  <si>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</si>
  <si>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</si>
  <si>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</si>
  <si>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</si>
  <si>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</si>
  <si>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</si>
  <si>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</si>
  <si>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</si>
  <si>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</si>
  <si>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</si>
  <si>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</si>
  <si>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</si>
  <si>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</si>
  <si>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</si>
  <si>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</si>
  <si>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</si>
  <si>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</si>
  <si>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</si>
  <si>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</si>
  <si>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</si>
  <si>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</si>
  <si>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</si>
  <si>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</si>
  <si>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</si>
  <si>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</si>
  <si>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</si>
  <si>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</si>
  <si>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</si>
  <si>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</si>
  <si>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</si>
  <si>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</si>
  <si>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</si>
  <si>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</si>
  <si>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</si>
  <si>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</si>
  <si>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</si>
  <si>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</si>
  <si>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</si>
  <si>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</si>
  <si>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</si>
  <si>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</si>
  <si>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</si>
  <si>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</si>
  <si>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</si>
  <si>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</si>
  <si>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</si>
  <si>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</si>
  <si>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</si>
  <si>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</si>
  <si>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</si>
  <si>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</si>
  <si>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</si>
  <si>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</si>
  <si>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</si>
  <si>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</si>
  <si>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</si>
  <si>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</si>
  <si>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</si>
  <si>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</si>
  <si>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</si>
  <si>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</si>
  <si>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</si>
  <si>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</si>
  <si>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</si>
  <si>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</si>
  <si>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</si>
  <si>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</si>
  <si>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</si>
  <si>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</si>
  <si>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</si>
  <si>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</si>
  <si>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</si>
  <si>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</si>
  <si>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</si>
  <si>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</si>
  <si>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</si>
  <si>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</si>
  <si>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</si>
  <si>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</si>
  <si>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</si>
  <si>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</si>
  <si>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</si>
  <si>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</si>
  <si>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</si>
  <si>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</si>
  <si>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</si>
  <si>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</si>
  <si>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</si>
  <si>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</si>
  <si>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</si>
  <si>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</si>
  <si>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</si>
  <si>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</si>
  <si>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</si>
  <si>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</si>
  <si>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</si>
  <si>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</si>
  <si>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</si>
  <si>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</si>
  <si>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</si>
  <si>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</si>
  <si>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</si>
  <si>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</si>
  <si>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</si>
  <si>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</si>
  <si>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</si>
  <si>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</si>
  <si>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</si>
  <si>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</si>
  <si>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</si>
  <si>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</si>
  <si>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</si>
  <si>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</si>
  <si>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</si>
  <si>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</si>
  <si>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</si>
  <si>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</si>
  <si>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</si>
  <si>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</si>
  <si>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</si>
  <si>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</si>
  <si>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</si>
  <si>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</si>
  <si>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</si>
  <si>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</si>
  <si>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</si>
  <si>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</si>
  <si>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</si>
  <si>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</si>
  <si>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</si>
  <si>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</si>
  <si>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</si>
  <si>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</si>
  <si>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</si>
  <si>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</si>
  <si>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</si>
  <si>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</si>
  <si>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</si>
  <si>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</si>
  <si>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</si>
  <si>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</si>
  <si>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</si>
  <si>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</si>
  <si>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</si>
  <si>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</si>
  <si>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</si>
  <si>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</si>
  <si>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</si>
  <si>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</si>
  <si>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</si>
  <si>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</si>
  <si>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</si>
  <si>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</si>
  <si>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</si>
  <si>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</si>
  <si>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</si>
  <si>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</si>
  <si>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</si>
  <si>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</si>
  <si>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</si>
  <si>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</si>
  <si>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</si>
  <si>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</si>
  <si>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</si>
  <si>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</si>
  <si>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</si>
  <si>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</si>
  <si>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</si>
  <si>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</si>
  <si>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</si>
  <si>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</si>
  <si>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</si>
  <si>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</si>
  <si>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</si>
  <si>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</si>
  <si>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</si>
  <si>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</si>
  <si>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</si>
  <si>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</si>
  <si>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</si>
  <si>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</si>
  <si>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</si>
  <si>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</si>
  <si>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</si>
  <si>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</si>
  <si>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</si>
  <si>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</si>
  <si>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</si>
  <si>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</si>
  <si>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</si>
  <si>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</si>
  <si>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</si>
  <si>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</si>
  <si>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</si>
  <si>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</si>
  <si>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</si>
  <si>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</si>
  <si>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</si>
  <si>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</si>
  <si>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</si>
  <si>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</si>
  <si>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</si>
  <si>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</si>
  <si>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</si>
  <si>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</si>
  <si>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</si>
  <si>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</si>
  <si>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</si>
  <si>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</si>
  <si>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</si>
  <si>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</si>
  <si>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</si>
  <si>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</si>
  <si>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</si>
  <si>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</si>
  <si>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</si>
  <si>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</si>
  <si>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</si>
  <si>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</si>
  <si>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</si>
  <si>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</si>
  <si>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</si>
  <si>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</si>
  <si>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</si>
  <si>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</si>
  <si>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</si>
  <si>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</si>
  <si>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</si>
  <si>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</si>
  <si>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</si>
  <si>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</si>
  <si>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</si>
  <si>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</si>
  <si>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</si>
  <si>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</si>
  <si>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</si>
  <si>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</si>
  <si>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</si>
  <si>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</si>
  <si>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</si>
  <si>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</si>
  <si>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</si>
  <si>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</si>
  <si>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</si>
  <si>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</si>
  <si>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</si>
  <si>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</si>
  <si>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</si>
  <si>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</si>
  <si>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</si>
  <si>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</si>
  <si>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</si>
  <si>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</si>
  <si>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</si>
  <si>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</si>
  <si>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</si>
  <si>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</si>
  <si>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</si>
  <si>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</si>
  <si>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</si>
  <si>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</si>
  <si>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</si>
  <si>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</si>
  <si>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</si>
  <si>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</si>
  <si>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</si>
  <si>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</si>
  <si>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</si>
  <si>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</si>
  <si>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</si>
  <si>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</si>
  <si>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</si>
  <si>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</si>
  <si>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</si>
  <si>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</si>
  <si>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</si>
  <si>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</si>
  <si>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</si>
  <si>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</si>
  <si>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</si>
  <si>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</si>
  <si>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</si>
  <si>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</si>
  <si>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</si>
  <si>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</si>
  <si>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</si>
  <si>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</si>
  <si>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</si>
  <si>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</si>
  <si>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</si>
  <si>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</si>
  <si>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</si>
  <si>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</si>
  <si>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</si>
  <si>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</si>
  <si>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</si>
  <si>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</si>
  <si>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</si>
  <si>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</si>
  <si>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</si>
  <si>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</si>
  <si>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</si>
  <si>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</si>
  <si>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</si>
  <si>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</si>
  <si>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</si>
  <si>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</si>
  <si>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</si>
  <si>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</si>
  <si>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</si>
  <si>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</si>
  <si>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</si>
  <si>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</si>
  <si>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</si>
  <si>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</si>
  <si>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</si>
  <si>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</si>
  <si>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</si>
  <si>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</si>
  <si>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</si>
  <si>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</si>
  <si>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</si>
  <si>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</si>
  <si>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</si>
  <si>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</si>
  <si>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</si>
  <si>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</si>
  <si>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</si>
  <si>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</si>
  <si>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</si>
  <si>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</si>
  <si>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</si>
  <si>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</si>
  <si>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</si>
  <si>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</si>
  <si>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</si>
  <si>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</si>
  <si>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</si>
  <si>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</si>
  <si>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</si>
  <si>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</si>
  <si>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</si>
  <si>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</si>
  <si>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</si>
  <si>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</si>
  <si>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</si>
  <si>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</si>
  <si>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</si>
  <si>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</si>
  <si>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</si>
  <si>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</si>
  <si>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</si>
  <si>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</si>
  <si>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</si>
  <si>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</si>
  <si>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</si>
  <si>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</si>
  <si>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</si>
  <si>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</si>
  <si>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</si>
  <si>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</si>
  <si>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</si>
  <si>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</si>
  <si>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</si>
  <si>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</si>
  <si>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</si>
  <si>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</si>
  <si>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</si>
  <si>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</si>
  <si>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</si>
  <si>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</si>
  <si>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</si>
  <si>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</si>
  <si>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</si>
  <si>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</si>
  <si>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</si>
  <si>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</si>
  <si>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</si>
  <si>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</si>
  <si>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</si>
  <si>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</si>
  <si>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</si>
  <si>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</si>
  <si>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</si>
  <si>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</si>
  <si>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</si>
  <si>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</si>
  <si>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</si>
  <si>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</si>
  <si>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</si>
  <si>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</si>
  <si>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</si>
  <si>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</si>
  <si>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</si>
  <si>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</si>
  <si>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</si>
  <si>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</si>
  <si>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</si>
  <si>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</si>
  <si>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</si>
  <si>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</si>
  <si>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</si>
  <si>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</si>
  <si>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</si>
  <si>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</si>
  <si>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</si>
  <si>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</si>
  <si>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</si>
  <si>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</si>
  <si>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</si>
  <si>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</si>
  <si>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</si>
  <si>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</si>
  <si>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</si>
  <si>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</si>
  <si>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</si>
  <si>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</si>
  <si>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</si>
  <si>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</si>
  <si>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</si>
  <si>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</si>
  <si>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</si>
  <si>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</si>
  <si>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</si>
  <si>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</si>
  <si>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</si>
  <si>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</si>
  <si>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</si>
  <si>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</si>
  <si>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</si>
  <si>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</si>
  <si>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</si>
  <si>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</si>
  <si>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</si>
  <si>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</si>
  <si>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</si>
  <si>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</si>
  <si>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</si>
  <si>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</si>
  <si>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</si>
  <si>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</si>
  <si>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</si>
  <si>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</si>
  <si>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</si>
  <si>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</si>
  <si>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</si>
  <si>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</si>
  <si>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</si>
  <si>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</si>
  <si>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</si>
  <si>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</si>
  <si>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</si>
  <si>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</si>
  <si>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</si>
  <si>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</si>
  <si>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</si>
  <si>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</si>
  <si>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</si>
  <si>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</si>
  <si>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</si>
  <si>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</si>
  <si>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</si>
  <si>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</si>
  <si>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</si>
  <si>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</si>
  <si>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</si>
  <si>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</si>
  <si>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</si>
  <si>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</si>
  <si>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</si>
  <si>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</si>
  <si>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</si>
  <si>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</si>
  <si>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</si>
  <si>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</si>
  <si>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</si>
  <si>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</si>
  <si>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</si>
  <si>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</si>
  <si>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</si>
  <si>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</si>
  <si>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</si>
  <si>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</si>
  <si>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</si>
  <si>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</si>
  <si>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</si>
  <si>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</si>
  <si>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</si>
  <si>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</si>
  <si>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</si>
  <si>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</si>
  <si>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</si>
  <si>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</si>
  <si>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</si>
  <si>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</si>
  <si>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</si>
  <si>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</si>
  <si>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</si>
  <si>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</si>
  <si>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</si>
  <si>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</si>
  <si>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</si>
  <si>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</si>
  <si>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</si>
  <si>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</si>
  <si>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</si>
  <si>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</si>
  <si>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</si>
  <si>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</si>
  <si>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</si>
  <si>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</si>
  <si>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</si>
  <si>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</si>
  <si>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</si>
  <si>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</si>
  <si>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</si>
  <si>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</si>
  <si>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</si>
  <si>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</si>
  <si>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</si>
  <si>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</si>
  <si>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</si>
  <si>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</si>
  <si>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</si>
  <si>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</si>
  <si>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</si>
  <si>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</si>
  <si>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</si>
  <si>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</si>
  <si>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</si>
  <si>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</si>
  <si>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</si>
  <si>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</si>
  <si>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</si>
  <si>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</si>
  <si>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</si>
  <si>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</si>
  <si>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</si>
  <si>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</si>
  <si>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</si>
  <si>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</si>
  <si>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</si>
  <si>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</si>
  <si>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</si>
  <si>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</si>
  <si>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</si>
  <si>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</si>
  <si>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</si>
  <si>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</si>
  <si>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</si>
  <si>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</si>
  <si>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</si>
  <si>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</si>
  <si>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</si>
  <si>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</si>
  <si>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</si>
  <si>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</si>
  <si>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</si>
  <si>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</si>
  <si>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</si>
  <si>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</si>
  <si>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</si>
  <si>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</si>
  <si>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</si>
  <si>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</si>
  <si>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</si>
  <si>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</si>
  <si>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</si>
  <si>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</si>
  <si>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</si>
  <si>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</si>
  <si>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</si>
  <si>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</si>
  <si>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</si>
  <si>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</si>
  <si>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</si>
  <si>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</si>
  <si>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</si>
  <si>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</si>
  <si>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</si>
  <si>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</si>
  <si>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</si>
  <si>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</si>
  <si>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</si>
  <si>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</si>
  <si>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</si>
  <si>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</si>
  <si>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</si>
  <si>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</si>
  <si>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</si>
  <si>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</si>
  <si>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</si>
  <si>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</si>
  <si>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</si>
  <si>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</si>
  <si>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</si>
  <si>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</si>
  <si>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</si>
  <si>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</si>
  <si>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</si>
  <si>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</si>
  <si>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</si>
  <si>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</si>
  <si>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</si>
  <si>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</si>
  <si>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</si>
  <si>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</si>
  <si>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</si>
  <si>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</si>
  <si>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</si>
  <si>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</si>
  <si>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</si>
  <si>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</si>
  <si>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</si>
  <si>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</si>
  <si>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</si>
  <si>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</si>
  <si>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</si>
  <si>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</si>
  <si>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</si>
  <si>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</si>
  <si>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</si>
  <si>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</si>
  <si>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</si>
  <si>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</si>
  <si>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</si>
  <si>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</si>
  <si>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</si>
  <si>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</si>
  <si>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</si>
  <si>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</si>
  <si>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</si>
  <si>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</si>
  <si>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</si>
  <si>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</si>
  <si>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</si>
  <si>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</si>
  <si>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</si>
  <si>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</si>
  <si>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</si>
  <si>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</si>
  <si>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</si>
  <si>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</si>
  <si>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</si>
  <si>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</si>
  <si>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</si>
  <si>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</si>
  <si>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</si>
  <si>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</si>
  <si>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</si>
  <si>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</si>
  <si>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</si>
  <si>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</si>
  <si>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</si>
  <si>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</si>
  <si>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</si>
  <si>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</si>
  <si>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</si>
  <si>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</si>
  <si>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</si>
  <si>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</si>
  <si>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</si>
  <si>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</si>
  <si>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</si>
  <si>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</si>
  <si>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</si>
  <si>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</si>
  <si>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</si>
  <si>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</si>
  <si>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</si>
  <si>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</si>
  <si>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</si>
  <si>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</si>
  <si>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</si>
  <si>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</si>
  <si>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</si>
  <si>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</si>
  <si>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</si>
  <si>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</si>
  <si>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</si>
  <si>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</si>
  <si>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</si>
  <si>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</si>
  <si>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</si>
  <si>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</si>
  <si>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</si>
  <si>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</si>
  <si>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</si>
  <si>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</si>
  <si>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</si>
  <si>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</si>
  <si>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</si>
  <si>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</si>
  <si>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</si>
  <si>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</si>
  <si>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</si>
  <si>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</si>
  <si>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</si>
  <si>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</si>
  <si>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</si>
  <si>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</si>
  <si>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</si>
  <si>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</si>
  <si>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</si>
  <si>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</si>
  <si>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</si>
  <si>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</si>
  <si>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</si>
  <si>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</si>
  <si>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</si>
  <si>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</si>
  <si>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</si>
  <si>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</si>
  <si>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</si>
  <si>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</si>
  <si>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</si>
  <si>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</si>
  <si>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</si>
  <si>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</si>
  <si>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</si>
  <si>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</si>
  <si>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</si>
  <si>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</si>
  <si>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</si>
  <si>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</si>
  <si>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</si>
  <si>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</si>
  <si>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</si>
  <si>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</si>
  <si>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</si>
  <si>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</si>
  <si>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</si>
  <si>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</si>
  <si>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</si>
  <si>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</si>
  <si>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</si>
  <si>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</si>
  <si>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</si>
  <si>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</si>
  <si>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</si>
  <si>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</si>
  <si>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</si>
  <si>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</si>
  <si>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</si>
  <si>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</si>
  <si>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</si>
  <si>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</si>
  <si>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</si>
  <si>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</si>
  <si>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</si>
  <si>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</si>
  <si>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</si>
  <si>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</si>
  <si>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</si>
  <si>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</si>
  <si>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</si>
  <si>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</si>
  <si>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</si>
  <si>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</si>
  <si>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</si>
  <si>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</si>
  <si>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</si>
  <si>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</si>
  <si>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</si>
  <si>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</si>
  <si>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</si>
  <si>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</si>
  <si>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</si>
  <si>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</si>
  <si>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</si>
  <si>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</si>
  <si>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</si>
  <si>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</si>
  <si>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</si>
  <si>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</si>
  <si>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</si>
  <si>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</si>
  <si>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</si>
  <si>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</si>
  <si>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</si>
  <si>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</si>
  <si>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</si>
  <si>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</si>
  <si>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</si>
  <si>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</si>
  <si>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</si>
  <si>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</si>
  <si>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</si>
  <si>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</si>
  <si>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</si>
  <si>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</si>
  <si>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</si>
  <si>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</si>
  <si>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</si>
  <si>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</si>
  <si>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</si>
  <si>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</si>
  <si>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</si>
  <si>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</si>
  <si>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</si>
  <si>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</si>
  <si>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</si>
  <si>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</si>
  <si>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</si>
  <si>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</si>
  <si>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</si>
  <si>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</si>
  <si>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</si>
  <si>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</si>
  <si>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</si>
  <si>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</si>
  <si>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</si>
  <si>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</si>
  <si>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</si>
  <si>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</si>
  <si>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</si>
  <si>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</si>
  <si>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</si>
  <si>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</si>
  <si>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</si>
  <si>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</si>
  <si>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</si>
  <si>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</si>
  <si>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</si>
  <si>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</si>
  <si>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</si>
  <si>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</si>
  <si>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</si>
  <si>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</si>
  <si>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</si>
  <si>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</si>
  <si>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</si>
  <si>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</si>
  <si>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</si>
  <si>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</si>
  <si>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</si>
  <si>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</si>
  <si>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</si>
  <si>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</si>
  <si>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</si>
  <si>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</si>
  <si>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</si>
  <si>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</si>
  <si>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</si>
  <si>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</si>
  <si>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</si>
  <si>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</si>
  <si>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</si>
  <si>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</si>
  <si>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</si>
  <si>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</si>
  <si>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</si>
  <si>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</si>
  <si>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</si>
  <si>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</si>
  <si>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</si>
  <si>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</si>
  <si>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</si>
  <si>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</si>
  <si>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</si>
  <si>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</si>
  <si>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</si>
  <si>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</si>
  <si>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</si>
  <si>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</si>
  <si>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</si>
  <si>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</si>
  <si>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</si>
  <si>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</si>
  <si>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</si>
  <si>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</si>
  <si>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</si>
  <si>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</si>
  <si>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</si>
  <si>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</si>
  <si>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</si>
  <si>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</si>
  <si>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</si>
  <si>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</si>
  <si>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</si>
  <si>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</si>
  <si>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</si>
  <si>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</si>
  <si>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</si>
  <si>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</si>
  <si>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</si>
  <si>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</si>
  <si>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</si>
  <si>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</si>
  <si>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</si>
  <si>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</si>
  <si>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</si>
  <si>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</si>
  <si>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</si>
  <si>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</si>
  <si>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</si>
  <si>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</si>
  <si>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</si>
  <si>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</si>
  <si>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</si>
  <si>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</si>
  <si>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</si>
  <si>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</si>
  <si>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</si>
  <si>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</si>
  <si>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</si>
  <si>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</si>
  <si>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</si>
  <si>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</si>
  <si>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</si>
  <si>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</si>
  <si>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</si>
  <si>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</si>
  <si>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</si>
  <si>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</si>
  <si>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</si>
  <si>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</si>
  <si>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</si>
  <si>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</si>
  <si>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</si>
  <si>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</si>
  <si>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</si>
  <si>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</si>
  <si>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</si>
  <si>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</si>
  <si>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</si>
  <si>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</si>
  <si>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</si>
  <si>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</si>
  <si>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</si>
  <si>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</si>
  <si>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</si>
  <si>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</si>
  <si>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</si>
  <si>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</si>
  <si>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</si>
  <si>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</si>
  <si>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</si>
  <si>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</si>
  <si>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</si>
  <si>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</si>
  <si>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</si>
  <si>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</si>
  <si>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</si>
  <si>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</si>
  <si>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</si>
  <si>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</si>
  <si>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</si>
  <si>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</si>
  <si>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</si>
  <si>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</si>
  <si>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</si>
  <si>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</si>
  <si>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</si>
  <si>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</si>
  <si>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</si>
  <si>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</si>
  <si>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</si>
  <si>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</si>
  <si>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</si>
  <si>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</si>
  <si>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</si>
  <si>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</si>
  <si>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</si>
  <si>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</si>
  <si>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</si>
  <si>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</si>
  <si>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</si>
  <si>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</si>
  <si>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</si>
  <si>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</si>
  <si>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</si>
  <si>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</si>
  <si>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</si>
  <si>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</si>
  <si>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</si>
  <si>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</si>
  <si>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</si>
  <si>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</si>
  <si>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</si>
  <si>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</si>
  <si>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</si>
  <si>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</si>
  <si>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</si>
  <si>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</si>
  <si>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</si>
  <si>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</si>
  <si>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</si>
  <si>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</si>
  <si>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</si>
  <si>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</si>
  <si>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</si>
  <si>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</si>
  <si>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</si>
  <si>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</si>
  <si>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</si>
  <si>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</si>
  <si>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</si>
  <si>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</si>
  <si>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</si>
  <si>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</si>
  <si>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</si>
  <si>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</si>
  <si>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</si>
  <si>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</si>
  <si>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</si>
  <si>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</si>
  <si>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</si>
  <si>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</si>
  <si>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</si>
  <si>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</si>
  <si>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</si>
  <si>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</si>
  <si>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</si>
  <si>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</si>
  <si>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</si>
  <si>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</si>
  <si>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</si>
  <si>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</si>
  <si>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</si>
  <si>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</si>
  <si>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</si>
  <si>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</si>
  <si>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</si>
  <si>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</si>
  <si>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</si>
  <si>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</si>
  <si>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</si>
  <si>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</si>
  <si>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</si>
  <si>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</si>
  <si>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</si>
  <si>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</si>
  <si>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</si>
  <si>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</si>
  <si>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</si>
  <si>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</si>
  <si>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</si>
  <si>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</si>
  <si>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</si>
  <si>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</si>
  <si>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</si>
  <si>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</si>
  <si>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</si>
  <si>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</si>
  <si>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</si>
  <si>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</si>
  <si>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</si>
  <si>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</si>
  <si>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</si>
  <si>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</si>
  <si>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</si>
  <si>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</si>
  <si>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</si>
  <si>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</si>
  <si>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</si>
  <si>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</si>
  <si>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</si>
  <si>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</si>
  <si>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</si>
  <si>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</si>
  <si>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</si>
  <si>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</si>
  <si>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</si>
  <si>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</si>
  <si>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</si>
  <si>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</si>
  <si>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</si>
  <si>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</si>
  <si>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</si>
  <si>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</si>
  <si>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</si>
  <si>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</si>
  <si>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</si>
  <si>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</si>
  <si>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</si>
  <si>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</si>
  <si>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</si>
  <si>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</si>
  <si>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</si>
  <si>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</si>
  <si>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</si>
  <si>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</si>
  <si>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</si>
  <si>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</si>
  <si>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</si>
  <si>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</si>
  <si>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</si>
  <si>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</si>
  <si>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</si>
  <si>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</si>
  <si>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</si>
  <si>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</si>
  <si>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</si>
  <si>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</si>
  <si>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</si>
  <si>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</si>
  <si>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</si>
  <si>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</si>
  <si>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</si>
  <si>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</si>
  <si>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</si>
  <si>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</si>
  <si>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</si>
  <si>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</si>
  <si>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</si>
  <si>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</si>
  <si>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</si>
  <si>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</si>
  <si>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</si>
  <si>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</si>
  <si>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</si>
  <si>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</si>
  <si>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</si>
  <si>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</si>
  <si>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</si>
  <si>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</si>
  <si>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</si>
  <si>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</si>
  <si>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</si>
  <si>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</si>
  <si>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</si>
  <si>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</si>
  <si>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</si>
  <si>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</si>
  <si>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</si>
  <si>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</si>
  <si>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</si>
  <si>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</si>
  <si>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</si>
  <si>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</si>
  <si>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</si>
  <si>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</si>
  <si>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</si>
  <si>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</si>
  <si>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</si>
  <si>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</si>
  <si>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</si>
  <si>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</si>
  <si>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</si>
  <si>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</si>
  <si>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</si>
  <si>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</si>
  <si>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</si>
  <si>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</si>
  <si>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</si>
  <si>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</si>
  <si>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</si>
  <si>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</si>
  <si>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</si>
  <si>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</si>
  <si>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</si>
  <si>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</si>
  <si>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</si>
  <si>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</si>
  <si>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</si>
  <si>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</si>
  <si>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</si>
  <si>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</si>
  <si>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</si>
  <si>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</si>
  <si>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</si>
  <si>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</si>
  <si>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</si>
  <si>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</si>
  <si>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</si>
  <si>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</si>
  <si>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</si>
  <si>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</si>
  <si>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</si>
  <si>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</si>
  <si>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</si>
  <si>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</si>
  <si>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</si>
  <si>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</si>
  <si>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</si>
  <si>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</si>
  <si>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</si>
  <si>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</si>
  <si>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</si>
  <si>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</si>
  <si>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</si>
  <si>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</si>
  <si>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</si>
  <si>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</si>
  <si>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</si>
  <si>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</si>
  <si>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</si>
  <si>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</si>
  <si>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</si>
  <si>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</si>
  <si>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</si>
  <si>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</si>
  <si>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</si>
  <si>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</si>
  <si>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</si>
  <si>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</si>
  <si>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</si>
  <si>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</si>
  <si>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</si>
  <si>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</si>
  <si>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</si>
  <si>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</si>
  <si>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</si>
  <si>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</si>
  <si>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</si>
  <si>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</si>
  <si>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</si>
  <si>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</si>
  <si>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</si>
  <si>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</si>
  <si>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</si>
  <si>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</si>
  <si>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</si>
  <si>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</si>
  <si>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</si>
  <si>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</si>
  <si>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</si>
  <si>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</si>
  <si>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</si>
  <si>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</si>
  <si>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</si>
  <si>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</si>
  <si>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</si>
  <si>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</si>
  <si>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</si>
  <si>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</si>
  <si>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</si>
  <si>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</si>
  <si>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</si>
  <si>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</si>
  <si>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</si>
  <si>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</si>
  <si>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</si>
  <si>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</si>
  <si>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</si>
  <si>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</si>
  <si>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</si>
  <si>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</si>
  <si>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</si>
  <si>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</si>
  <si>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</si>
  <si>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</si>
  <si>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</si>
  <si>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</si>
  <si>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</si>
  <si>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</si>
  <si>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</si>
  <si>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</si>
  <si>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</si>
  <si>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</si>
  <si>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</si>
  <si>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</si>
  <si>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</si>
  <si>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</si>
  <si>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</si>
  <si>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</si>
  <si>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</si>
  <si>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</si>
  <si>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</si>
  <si>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</si>
  <si>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</si>
  <si>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</si>
  <si>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</si>
  <si>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</si>
  <si>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</si>
  <si>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</si>
  <si>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</si>
  <si>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</si>
  <si>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</si>
  <si>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</si>
  <si>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</si>
  <si>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</si>
  <si>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</si>
  <si>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</si>
  <si>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</si>
  <si>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</si>
  <si>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</si>
  <si>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</si>
  <si>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</si>
  <si>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</si>
  <si>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</si>
  <si>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</si>
  <si>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</si>
  <si>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</si>
  <si>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</si>
  <si>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</si>
  <si>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</si>
  <si>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</si>
  <si>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</si>
  <si>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</si>
  <si>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</si>
  <si>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</si>
  <si>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</si>
  <si>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</si>
  <si>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</si>
  <si>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</si>
  <si>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</si>
  <si>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</si>
  <si>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</si>
  <si>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</si>
  <si>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</si>
  <si>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</si>
  <si>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</si>
  <si>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</si>
  <si>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</si>
  <si>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</si>
  <si>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</si>
  <si>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</si>
  <si>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</si>
  <si>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</si>
  <si>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</si>
  <si>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</si>
  <si>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</si>
  <si>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</si>
  <si>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</si>
  <si>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</si>
  <si>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</si>
  <si>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</si>
  <si>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</si>
  <si>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</si>
  <si>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</si>
  <si>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</si>
  <si>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</si>
  <si>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</si>
  <si>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</si>
  <si>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</si>
  <si>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</si>
  <si>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</si>
  <si>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</si>
  <si>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</si>
  <si>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</si>
  <si>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</si>
  <si>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</si>
  <si>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</si>
  <si>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</si>
  <si>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</si>
  <si>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</si>
  <si>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</si>
  <si>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</si>
  <si>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</si>
  <si>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</si>
  <si>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</si>
  <si>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</si>
  <si>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</si>
  <si>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</si>
  <si>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</si>
  <si>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</si>
  <si>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</si>
  <si>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</si>
  <si>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</si>
  <si>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</si>
  <si>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</si>
  <si>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</si>
  <si>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</si>
  <si>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</si>
  <si>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</si>
  <si>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</si>
  <si>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</si>
  <si>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</si>
  <si>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</si>
  <si>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</si>
  <si>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</si>
  <si>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</si>
  <si>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</si>
  <si>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</si>
  <si>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</si>
  <si>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</si>
  <si>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</si>
  <si>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</si>
  <si>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</si>
  <si>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</si>
  <si>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</si>
  <si>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</si>
  <si>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</si>
  <si>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</si>
  <si>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</si>
  <si>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</si>
  <si>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</si>
  <si>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</si>
  <si>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</si>
  <si>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</si>
  <si>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</si>
  <si>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</si>
  <si>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</si>
  <si>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</si>
  <si>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</si>
  <si>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</si>
  <si>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</si>
  <si>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</si>
  <si>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</si>
  <si>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</si>
  <si>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</si>
  <si>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</si>
  <si>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</si>
  <si>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</si>
  <si>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</si>
  <si>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</si>
  <si>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</si>
  <si>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</si>
  <si>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</si>
  <si>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</si>
  <si>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</si>
  <si>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</si>
  <si>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</si>
  <si>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</si>
  <si>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</si>
  <si>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</si>
  <si>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</si>
  <si>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</si>
  <si>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</si>
  <si>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</si>
  <si>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</si>
  <si>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</si>
  <si>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</si>
  <si>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</si>
  <si>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</si>
  <si>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</si>
  <si>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</si>
  <si>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</si>
  <si>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</si>
  <si>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</si>
  <si>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</si>
  <si>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</si>
  <si>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</si>
  <si>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</si>
  <si>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</si>
  <si>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</si>
  <si>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</si>
  <si>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</si>
  <si>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</si>
  <si>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</si>
  <si>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</si>
  <si>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</si>
  <si>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</si>
  <si>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</si>
  <si>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</si>
  <si>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</si>
  <si>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</si>
  <si>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</si>
  <si>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</si>
  <si>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</si>
  <si>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</si>
  <si>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</si>
  <si>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</si>
  <si>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</si>
  <si>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</si>
  <si>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</si>
  <si>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</si>
  <si>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</si>
  <si>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</si>
  <si>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</si>
  <si>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</si>
  <si>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</si>
  <si>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</si>
  <si>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</si>
  <si>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</si>
  <si>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</si>
  <si>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</si>
  <si>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</si>
  <si>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</si>
  <si>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</si>
  <si>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</si>
  <si>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</si>
  <si>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</si>
  <si>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</si>
  <si>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</si>
  <si>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</si>
  <si>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</si>
  <si>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</si>
  <si>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</si>
  <si>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</si>
  <si>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</si>
  <si>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</si>
  <si>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</si>
  <si>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</si>
  <si>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</si>
  <si>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</si>
  <si>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</si>
  <si>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</si>
  <si>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</si>
  <si>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</si>
  <si>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</si>
  <si>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</si>
  <si>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</si>
  <si>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</si>
  <si>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</si>
  <si>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</si>
  <si>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</si>
  <si>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</si>
  <si>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</si>
  <si>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</si>
  <si>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</si>
  <si>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</si>
  <si>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</si>
  <si>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</si>
  <si>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</si>
  <si>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</si>
  <si>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</si>
  <si>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</si>
  <si>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</si>
  <si>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</si>
  <si>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</si>
  <si>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</si>
  <si>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</si>
  <si>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</si>
  <si>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</si>
  <si>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</si>
  <si>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</si>
  <si>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</si>
  <si>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</si>
  <si>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</si>
  <si>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</si>
  <si>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</si>
  <si>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</si>
  <si>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</si>
  <si>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</si>
  <si>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</si>
  <si>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</si>
  <si>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</si>
  <si>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</si>
  <si>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</si>
  <si>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</si>
  <si>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</si>
  <si>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</si>
  <si>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</si>
  <si>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</si>
  <si>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</si>
  <si>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</si>
  <si>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</si>
  <si>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</si>
  <si>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</si>
  <si>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</si>
  <si>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</si>
  <si>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</si>
  <si>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</si>
  <si>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</si>
  <si>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</si>
  <si>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</si>
  <si>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</si>
  <si>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</si>
  <si>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</si>
  <si>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</si>
  <si>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</si>
  <si>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</si>
  <si>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</si>
  <si>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</si>
  <si>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</si>
  <si>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</si>
  <si>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</si>
  <si>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</si>
  <si>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</si>
  <si>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</si>
  <si>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</si>
  <si>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</si>
  <si>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</si>
  <si>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</si>
  <si>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</si>
  <si>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</si>
  <si>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</si>
  <si>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</si>
  <si>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</si>
  <si>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</si>
  <si>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</si>
  <si>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</si>
  <si>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</si>
  <si>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</si>
  <si>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</si>
  <si>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</si>
  <si>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</si>
  <si>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</si>
  <si>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</si>
  <si>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</si>
  <si>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</si>
  <si>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</si>
  <si>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</si>
  <si>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</si>
  <si>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</si>
  <si>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</si>
  <si>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</si>
  <si>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</si>
  <si>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</si>
  <si>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</si>
  <si>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</si>
  <si>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</si>
  <si>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</si>
  <si>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</si>
  <si>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</si>
  <si>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</si>
  <si>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</si>
  <si>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</si>
  <si>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</si>
  <si>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</si>
  <si>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</si>
  <si>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</si>
  <si>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</si>
  <si>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</si>
  <si>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</si>
  <si>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</si>
  <si>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</si>
  <si>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</si>
  <si>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</si>
  <si>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</si>
  <si>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</si>
  <si>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</si>
  <si>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</si>
  <si>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</si>
  <si>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</si>
  <si>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</si>
  <si>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</si>
  <si>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</si>
  <si>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</si>
  <si>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</si>
  <si>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</si>
  <si>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</si>
  <si>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</si>
  <si>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</si>
  <si>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</si>
  <si>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</si>
  <si>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</si>
  <si>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</si>
  <si>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</si>
  <si>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</si>
  <si>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</si>
  <si>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</si>
  <si>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</si>
  <si>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</si>
  <si>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</si>
  <si>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</si>
  <si>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</si>
  <si>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</si>
  <si>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</si>
  <si>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</si>
  <si>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</si>
  <si>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</si>
  <si>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</si>
  <si>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</si>
  <si>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</si>
  <si>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</si>
  <si>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</si>
  <si>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</si>
  <si>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</si>
  <si>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</si>
  <si>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</si>
  <si>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</si>
  <si>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</si>
  <si>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</si>
  <si>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</si>
  <si>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</si>
  <si>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</si>
  <si>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</si>
  <si>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</si>
  <si>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</si>
  <si>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</si>
  <si>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</si>
  <si>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</si>
  <si>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</si>
  <si>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</si>
  <si>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</si>
  <si>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</si>
  <si>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</si>
  <si>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</si>
  <si>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</si>
  <si>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</si>
  <si>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</si>
  <si>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</si>
  <si>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</si>
  <si>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</si>
  <si>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</si>
  <si>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</si>
  <si>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</si>
  <si>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</si>
  <si>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</si>
  <si>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</si>
  <si>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</si>
  <si>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</si>
  <si>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</si>
  <si>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</si>
  <si>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</si>
  <si>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</si>
  <si>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</si>
  <si>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</si>
  <si>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</si>
  <si>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</si>
  <si>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</si>
  <si>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</si>
  <si>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</si>
  <si>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</si>
  <si>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</si>
  <si>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</si>
  <si>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</si>
  <si>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</si>
  <si>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</si>
  <si>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</si>
  <si>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</si>
  <si>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</si>
  <si>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</si>
  <si>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</si>
  <si>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</si>
  <si>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</si>
  <si>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</si>
  <si>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</si>
  <si>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</si>
  <si>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</si>
  <si>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</si>
  <si>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</si>
  <si>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</si>
  <si>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</si>
  <si>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</si>
  <si>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</si>
  <si>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</si>
  <si>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</si>
  <si>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</si>
  <si>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</si>
  <si>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</si>
  <si>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</si>
  <si>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</si>
  <si>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</si>
  <si>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</si>
  <si>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</si>
  <si>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</si>
  <si>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</si>
  <si>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</si>
  <si>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</si>
  <si>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</si>
  <si>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</si>
  <si>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</si>
  <si>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</si>
  <si>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</si>
  <si>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</si>
  <si>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</si>
  <si>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</si>
  <si>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</si>
  <si>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</si>
  <si>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</si>
  <si>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</si>
  <si>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</si>
  <si>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</si>
  <si>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</si>
  <si>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</si>
  <si>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</si>
  <si>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</si>
  <si>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</si>
  <si>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</si>
  <si>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</si>
  <si>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</si>
  <si>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</si>
  <si>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</si>
  <si>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</si>
  <si>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</si>
  <si>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</si>
  <si>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</si>
  <si>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</si>
  <si>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</si>
  <si>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</si>
  <si>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</si>
  <si>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</si>
  <si>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</si>
  <si>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</si>
  <si>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</si>
  <si>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</si>
  <si>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</si>
  <si>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</si>
  <si>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</si>
  <si>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</si>
  <si>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</si>
  <si>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</si>
  <si>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</si>
  <si>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</si>
  <si>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</si>
  <si>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</si>
  <si>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</si>
  <si>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</si>
  <si>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</si>
  <si>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</si>
  <si>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</si>
  <si>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</si>
  <si>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</si>
  <si>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</si>
  <si>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</si>
  <si>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</si>
  <si>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</si>
  <si>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</si>
  <si>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</si>
  <si>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</si>
  <si>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</si>
  <si>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</si>
  <si>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</si>
  <si>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</si>
  <si>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</si>
  <si>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</si>
  <si>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</si>
  <si>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</si>
  <si>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</si>
  <si>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</si>
  <si>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</si>
  <si>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</si>
  <si>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</si>
  <si>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</si>
  <si>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</si>
  <si>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</si>
  <si>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</si>
  <si>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</si>
  <si>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</si>
  <si>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</si>
  <si>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</si>
  <si>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</si>
  <si>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</si>
  <si>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</si>
  <si>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</si>
  <si>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</si>
  <si>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</si>
  <si>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</si>
  <si>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</si>
  <si>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</si>
  <si>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</si>
  <si>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</si>
  <si>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</si>
  <si>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</si>
  <si>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</si>
  <si>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</si>
  <si>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</si>
  <si>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</si>
  <si>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</si>
  <si>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</si>
  <si>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</si>
  <si>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</si>
  <si>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</si>
  <si>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</si>
  <si>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</si>
  <si>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</si>
  <si>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</si>
  <si>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</si>
  <si>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</si>
  <si>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</si>
  <si>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</si>
  <si>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</si>
  <si>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</si>
  <si>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</si>
  <si>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</si>
  <si>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</si>
  <si>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</si>
  <si>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</si>
  <si>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</si>
  <si>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</si>
  <si>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</si>
  <si>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</si>
  <si>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</si>
  <si>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</si>
  <si>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</si>
  <si>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</si>
  <si>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</si>
  <si>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</si>
  <si>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</si>
  <si>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</si>
  <si>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</si>
  <si>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</si>
  <si>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</si>
  <si>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</si>
  <si>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</si>
  <si>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</si>
  <si>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</si>
  <si>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</si>
  <si>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</si>
  <si>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</si>
  <si>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</si>
  <si>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</si>
  <si>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</si>
  <si>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</si>
  <si>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</si>
  <si>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</si>
  <si>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</si>
  <si>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</si>
  <si>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</si>
  <si>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</si>
  <si>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</si>
  <si>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</si>
  <si>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</si>
  <si>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</si>
  <si>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</si>
  <si>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</si>
  <si>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</si>
  <si>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</si>
  <si>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</si>
  <si>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</si>
  <si>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</si>
  <si>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</si>
  <si>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</si>
  <si>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</si>
  <si>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</si>
  <si>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</si>
  <si>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</si>
  <si>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</si>
  <si>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</si>
  <si>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</si>
  <si>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</si>
  <si>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</si>
  <si>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</si>
  <si>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</si>
  <si>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</si>
  <si>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</si>
  <si>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</si>
  <si>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</si>
  <si>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</si>
  <si>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</si>
  <si>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</si>
  <si>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</si>
  <si>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</si>
  <si>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</si>
  <si>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</si>
  <si>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</si>
  <si>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</si>
  <si>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</si>
  <si>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</si>
  <si>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</si>
  <si>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</si>
  <si>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</si>
  <si>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</si>
  <si>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</si>
  <si>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</si>
  <si>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</si>
  <si>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</si>
  <si>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</si>
  <si>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</si>
  <si>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</si>
  <si>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</si>
  <si>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</si>
  <si>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</si>
  <si>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</si>
  <si>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</si>
  <si>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</si>
  <si>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</si>
  <si>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</si>
  <si>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</si>
  <si>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</si>
  <si>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</si>
  <si>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</si>
  <si>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</si>
  <si>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</si>
  <si>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</si>
  <si>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</si>
  <si>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</si>
  <si>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</si>
  <si>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</si>
  <si>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</si>
  <si>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</si>
  <si>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</si>
  <si>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</si>
  <si>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</si>
  <si>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</si>
  <si>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</si>
  <si>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</si>
  <si>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</si>
  <si>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</si>
  <si>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</si>
  <si>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</si>
  <si>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</si>
  <si>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</si>
  <si>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</si>
  <si>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</si>
  <si>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</si>
  <si>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</si>
  <si>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</si>
  <si>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</si>
  <si>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</si>
  <si>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</si>
  <si>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</si>
  <si>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</si>
  <si>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</si>
  <si>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</si>
  <si>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</si>
  <si>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</si>
  <si>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</si>
  <si>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</si>
  <si>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</si>
  <si>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</si>
  <si>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</si>
  <si>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</si>
  <si>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</si>
  <si>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</si>
  <si>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</si>
  <si>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</si>
  <si>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</si>
  <si>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</si>
  <si>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</si>
  <si>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</si>
  <si>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</si>
  <si>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</si>
  <si>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</si>
  <si>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</si>
  <si>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</si>
  <si>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</si>
  <si>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</si>
  <si>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</si>
  <si>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</si>
  <si>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</si>
  <si>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</si>
  <si>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</si>
  <si>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</si>
  <si>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</si>
  <si>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03-20-2013</t>
  </si>
  <si>
    <t>C114</t>
  </si>
  <si>
    <t>Blake</t>
  </si>
  <si>
    <t xml:space="preserve">Reimbursement of pre-petition </t>
  </si>
  <si>
    <t>F103</t>
  </si>
  <si>
    <t>Raydon</t>
  </si>
  <si>
    <t>Mailbox lock for new owner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</si>
</sst>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 t="s">
        <v>44333</v>
      </c>
      <c r="D3" s="62" t="str">
        <f t="shared" ref="D3:D66" si="0">IF(ISERROR(VLOOKUP(B3&amp;C3,tabble,2,0)),"INVALID",VLOOKUP(B3&amp;C3,tabble,2,0))</f>
        <v>01</v>
      </c>
      <c r="E3" s="43" t="s">
        <v>44334</v>
      </c>
      <c r="F3" s="32" t="s">
        <v>38262</v>
      </c>
      <c r="G3" s="57">
        <v>263.33999999999997</v>
      </c>
      <c r="H3" s="33" t="s">
        <v>3892</v>
      </c>
      <c r="I3" s="34" t="str">
        <f t="shared" ref="I3:I66" si="1">IF(ISERROR(VLOOKUP(H3,table,2,0)),"INVALID",VLOOKUP(H3,table,2,0))</f>
        <v>2140</v>
      </c>
      <c r="J3" s="44" t="str">
        <f t="shared" ref="J3:J66" si="2">IF(ISERROR(VLOOKUP(H3,table,3,0)),"",VLOOKUP(H3,table,3,0))</f>
        <v>Monies Returnable</v>
      </c>
      <c r="K3" s="35" t="s">
        <v>44335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>03-20-2013</v>
      </c>
      <c r="B4" s="46" t="str">
        <f t="shared" ref="B4:B31" si="5">IF(C4="","",B3)</f>
        <v>0554</v>
      </c>
      <c r="C4" s="23" t="s">
        <v>44336</v>
      </c>
      <c r="D4" s="62" t="str">
        <f t="shared" si="0"/>
        <v>01</v>
      </c>
      <c r="E4" s="47" t="s">
        <v>44337</v>
      </c>
      <c r="F4" s="32" t="s">
        <v>38262</v>
      </c>
      <c r="G4" s="58">
        <v>10</v>
      </c>
      <c r="H4" s="21" t="s">
        <v>15624</v>
      </c>
      <c r="I4" s="24" t="str">
        <f t="shared" si="1"/>
        <v>4150</v>
      </c>
      <c r="J4" s="48" t="str">
        <f t="shared" si="2"/>
        <v>Misc Income (412)</v>
      </c>
      <c r="K4" s="25" t="s">
        <v>44338</v>
      </c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01</v>
      </c>
      <c r="BB4" s="56">
        <f t="shared" ref="BB4:BB67" si="7">IF(C4="","",IF(BA4="INVALID",BA4*1,1))</f>
        <v>1</v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C114</v>
      </c>
      <c r="C2" s="3" t="str">
        <f>'Billing Adjustment'!D3</f>
        <v>01</v>
      </c>
      <c r="D2" t="str">
        <f>'Billing Adjustment'!H3</f>
        <v>MR</v>
      </c>
      <c r="E2" s="3" t="str">
        <f>'Billing Adjustment'!A3</f>
        <v>03-20-2013</v>
      </c>
      <c r="F2" s="12" t="str">
        <f>'Billing Adjustment'!K3</f>
        <v xml:space="preserve">Reimbursement of pre-petition 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263.33999999999997</v>
      </c>
    </row>
    <row r="3" spans="1:8" x14ac:dyDescent="0.2">
      <c r="A3" t="str">
        <f>"00-"&amp;'Billing Adjustment'!B4</f>
        <v>00-0554</v>
      </c>
      <c r="B3" s="3" t="str">
        <f>'Billing Adjustment'!C4</f>
        <v>F103</v>
      </c>
      <c r="C3" s="3" t="str">
        <f>'Billing Adjustment'!D4</f>
        <v>01</v>
      </c>
      <c r="D3" t="str">
        <f>'Billing Adjustment'!H4</f>
        <v>M2</v>
      </c>
      <c r="E3" s="3" t="str">
        <f>'Billing Adjustment'!A4</f>
        <v>03-20-2013</v>
      </c>
      <c r="F3" s="12" t="str">
        <f>'Billing Adjustment'!K4</f>
        <v>Mailbox lock for new owner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10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2013-03-20T20:08:03Z</dcterms:modified>
</cp:coreProperties>
</file>