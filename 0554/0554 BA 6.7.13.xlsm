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<sst xmlns="http://schemas.openxmlformats.org/spreadsheetml/2006/main" count="90598" uniqueCount="45018">
  <si>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</si>
  <si>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</si>
  <si>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</si>
  <si>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</si>
  <si>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</si>
  <si>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</si>
  <si>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</si>
  <si>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</si>
  <si>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</si>
  <si>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</si>
  <si>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</si>
  <si>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</si>
  <si>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</si>
  <si>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</si>
  <si>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</si>
  <si>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</si>
  <si>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</si>
  <si>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</si>
  <si>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</si>
  <si>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</si>
  <si>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</si>
  <si>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</si>
  <si>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</si>
  <si>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</si>
  <si>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</si>
  <si>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</si>
  <si>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</si>
  <si>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</si>
  <si>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</si>
  <si>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</si>
  <si>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</si>
  <si>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</si>
  <si>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</si>
  <si>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</si>
  <si>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</si>
  <si>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</si>
  <si>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</si>
  <si>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</si>
  <si>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</si>
  <si>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</si>
  <si>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</si>
  <si>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</si>
  <si>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</si>
  <si>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</si>
  <si>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</si>
  <si>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</si>
  <si>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</si>
  <si>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</si>
  <si>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</si>
  <si>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</si>
  <si>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</si>
  <si>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</si>
  <si>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</si>
  <si>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</si>
  <si>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</si>
  <si>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</si>
  <si>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</si>
  <si>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</si>
  <si>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</si>
  <si>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</si>
  <si>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</si>
  <si>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</si>
  <si>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</si>
  <si>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</si>
  <si>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</si>
  <si>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</si>
  <si>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</si>
  <si>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</si>
  <si>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</si>
  <si>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</si>
  <si>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</si>
  <si>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</si>
  <si>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</si>
  <si>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</si>
  <si>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</si>
  <si>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</si>
  <si>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</si>
  <si>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</si>
  <si>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</si>
  <si>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</si>
  <si>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</si>
  <si>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</si>
  <si>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</si>
  <si>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</si>
  <si>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</si>
  <si>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</si>
  <si>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</si>
  <si>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</si>
  <si>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</si>
  <si>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</si>
  <si>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</si>
  <si>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</si>
  <si>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</si>
  <si>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</si>
  <si>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</si>
  <si>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</si>
  <si>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</si>
  <si>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</si>
  <si>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</si>
  <si>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</si>
  <si>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</si>
  <si>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</si>
  <si>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</si>
  <si>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</si>
  <si>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</si>
  <si>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</si>
  <si>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</si>
  <si>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</si>
  <si>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</si>
  <si>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</si>
  <si>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</si>
  <si>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</si>
  <si>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</si>
  <si>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</si>
  <si>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</si>
  <si>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</si>
  <si>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</si>
  <si>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</si>
  <si>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</si>
  <si>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</si>
  <si>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</si>
  <si>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</si>
  <si>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</si>
  <si>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</si>
  <si>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</si>
  <si>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</si>
  <si>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</si>
  <si>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</si>
  <si>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</si>
  <si>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</si>
  <si>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</si>
  <si>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</si>
  <si>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</si>
  <si>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</si>
  <si>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</si>
  <si>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</si>
  <si>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</si>
  <si>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</si>
  <si>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</si>
  <si>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</si>
  <si>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</si>
  <si>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</si>
  <si>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</si>
  <si>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</si>
  <si>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</si>
  <si>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</si>
  <si>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</si>
  <si>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</si>
  <si>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</si>
  <si>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</si>
  <si>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</si>
  <si>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</si>
  <si>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</si>
  <si>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</si>
  <si>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</si>
  <si>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</si>
  <si>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</si>
  <si>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</si>
  <si>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</si>
  <si>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</si>
  <si>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</si>
  <si>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</si>
  <si>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</si>
  <si>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</si>
  <si>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</si>
  <si>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</si>
  <si>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</si>
  <si>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</si>
  <si>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</si>
  <si>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</si>
  <si>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</si>
  <si>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</si>
  <si>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</si>
  <si>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</si>
  <si>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</si>
  <si>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</si>
  <si>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</si>
  <si>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</si>
  <si>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</si>
  <si>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</si>
  <si>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</si>
  <si>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</si>
  <si>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</si>
  <si>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</si>
  <si>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</si>
  <si>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</si>
  <si>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</si>
  <si>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</si>
  <si>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</si>
  <si>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</si>
  <si>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</si>
  <si>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</si>
  <si>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</si>
  <si>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</si>
  <si>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</si>
  <si>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</si>
  <si>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</si>
  <si>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</si>
  <si>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</si>
  <si>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</si>
  <si>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</si>
  <si>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</si>
  <si>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</si>
  <si>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</si>
  <si>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</si>
  <si>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</si>
  <si>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</si>
  <si>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</si>
  <si>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</si>
  <si>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</si>
  <si>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</si>
  <si>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</si>
  <si>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</si>
  <si>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</si>
  <si>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</si>
  <si>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</si>
  <si>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</si>
  <si>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</si>
  <si>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</si>
  <si>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</si>
  <si>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</si>
  <si>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</si>
  <si>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</si>
  <si>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</si>
  <si>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</si>
  <si>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</si>
  <si>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</si>
  <si>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</si>
  <si>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</si>
  <si>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</si>
  <si>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</si>
  <si>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</si>
  <si>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</si>
  <si>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</si>
  <si>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</si>
  <si>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</si>
  <si>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</si>
  <si>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</si>
  <si>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</si>
  <si>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</si>
  <si>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</si>
  <si>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</si>
  <si>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</si>
  <si>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</si>
  <si>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</si>
  <si>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</si>
  <si>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</si>
  <si>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</si>
  <si>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</si>
  <si>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</si>
  <si>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</si>
  <si>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</si>
  <si>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</si>
  <si>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</si>
  <si>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</si>
  <si>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</si>
  <si>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</si>
  <si>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</si>
  <si>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</si>
  <si>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</si>
  <si>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</si>
  <si>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</si>
  <si>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</si>
  <si>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</si>
  <si>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</si>
  <si>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</si>
  <si>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</si>
  <si>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</si>
  <si>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</si>
  <si>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</si>
  <si>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</si>
  <si>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</si>
  <si>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</si>
  <si>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</si>
  <si>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</si>
  <si>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</si>
  <si>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</si>
  <si>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</si>
  <si>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</si>
  <si>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</si>
  <si>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</si>
  <si>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</si>
  <si>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</si>
  <si>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</si>
  <si>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</si>
  <si>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</si>
  <si>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</si>
  <si>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</si>
  <si>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</si>
  <si>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</si>
  <si>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</si>
  <si>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</si>
  <si>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</si>
  <si>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</si>
  <si>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</si>
  <si>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</si>
  <si>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</si>
  <si>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</si>
  <si>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</si>
  <si>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</si>
  <si>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</si>
  <si>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</si>
  <si>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</si>
  <si>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</si>
  <si>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</si>
  <si>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</si>
  <si>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</si>
  <si>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</si>
  <si>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</si>
  <si>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</si>
  <si>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</si>
  <si>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</si>
  <si>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</si>
  <si>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</si>
  <si>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</si>
  <si>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</si>
  <si>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</si>
  <si>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</si>
  <si>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</si>
  <si>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</si>
  <si>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</si>
  <si>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</si>
  <si>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</si>
  <si>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</si>
  <si>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</si>
  <si>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</si>
  <si>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</si>
  <si>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</si>
  <si>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</si>
  <si>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</si>
  <si>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</si>
  <si>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</si>
  <si>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</si>
  <si>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</si>
  <si>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</si>
  <si>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</si>
  <si>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</si>
  <si>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</si>
  <si>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</si>
  <si>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</si>
  <si>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</si>
  <si>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</si>
  <si>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</si>
  <si>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</si>
  <si>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</si>
  <si>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</si>
  <si>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</si>
  <si>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</si>
  <si>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</si>
  <si>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</si>
  <si>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</si>
  <si>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</si>
  <si>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</si>
  <si>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</si>
  <si>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</si>
  <si>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</si>
  <si>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</si>
  <si>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</si>
  <si>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</si>
  <si>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</si>
  <si>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</si>
  <si>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</si>
  <si>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</si>
  <si>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</si>
  <si>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</si>
  <si>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</si>
  <si>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</si>
  <si>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</si>
  <si>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</si>
  <si>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</si>
  <si>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</si>
  <si>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</si>
  <si>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</si>
  <si>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</si>
  <si>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</si>
  <si>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</si>
  <si>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</si>
  <si>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</si>
  <si>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</si>
  <si>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</si>
  <si>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</si>
  <si>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</si>
  <si>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</si>
  <si>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</si>
  <si>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</si>
  <si>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</si>
  <si>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</si>
  <si>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</si>
  <si>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</si>
  <si>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</si>
  <si>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</si>
  <si>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</si>
  <si>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</si>
  <si>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</si>
  <si>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</si>
  <si>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</si>
  <si>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</si>
  <si>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</si>
  <si>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</si>
  <si>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</si>
  <si>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</si>
  <si>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</si>
  <si>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</si>
  <si>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</si>
  <si>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</si>
  <si>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</si>
  <si>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</si>
  <si>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</si>
  <si>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</si>
  <si>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</si>
  <si>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</si>
  <si>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</si>
  <si>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</si>
  <si>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</si>
  <si>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</si>
  <si>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</si>
  <si>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</si>
  <si>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</si>
  <si>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</si>
  <si>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</si>
  <si>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</si>
  <si>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</si>
  <si>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</si>
  <si>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</si>
  <si>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</si>
  <si>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</si>
  <si>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</si>
  <si>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</si>
  <si>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</si>
  <si>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</si>
  <si>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</si>
  <si>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</si>
  <si>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</si>
  <si>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</si>
  <si>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</si>
  <si>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</si>
  <si>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</si>
  <si>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</si>
  <si>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</si>
  <si>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</si>
  <si>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</si>
  <si>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</si>
  <si>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</si>
  <si>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</si>
  <si>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</si>
  <si>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</si>
  <si>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</si>
  <si>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</si>
  <si>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</si>
  <si>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</si>
  <si>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</si>
  <si>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</si>
  <si>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</si>
  <si>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</si>
  <si>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</si>
  <si>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</si>
  <si>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</si>
  <si>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</si>
  <si>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</si>
  <si>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</si>
  <si>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</si>
  <si>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</si>
  <si>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</si>
  <si>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</si>
  <si>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</si>
  <si>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</si>
  <si>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</si>
  <si>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</si>
  <si>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</si>
  <si>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</si>
  <si>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</si>
  <si>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</si>
  <si>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</si>
  <si>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</si>
  <si>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</si>
  <si>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</si>
  <si>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</si>
  <si>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</si>
  <si>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</si>
  <si>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</si>
  <si>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</si>
  <si>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</si>
  <si>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</si>
  <si>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</si>
  <si>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</si>
  <si>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</si>
  <si>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</si>
  <si>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</si>
  <si>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</si>
  <si>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</si>
  <si>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</si>
  <si>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</si>
  <si>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</si>
  <si>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</si>
  <si>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</si>
  <si>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</si>
  <si>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</si>
  <si>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</si>
  <si>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</si>
  <si>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</si>
  <si>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</si>
  <si>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</si>
  <si>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</si>
  <si>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</si>
  <si>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</si>
  <si>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</si>
  <si>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</si>
  <si>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</si>
  <si>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</si>
  <si>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</si>
  <si>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</si>
  <si>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</si>
  <si>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</si>
  <si>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</si>
  <si>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</si>
  <si>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</si>
  <si>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</si>
  <si>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</si>
  <si>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</si>
  <si>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</si>
  <si>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</si>
  <si>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</si>
  <si>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</si>
  <si>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</si>
  <si>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</si>
  <si>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</si>
  <si>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</si>
  <si>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</si>
  <si>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</si>
  <si>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</si>
  <si>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</si>
  <si>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</si>
  <si>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</si>
  <si>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</si>
  <si>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</si>
  <si>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</si>
  <si>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</si>
  <si>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</si>
  <si>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</si>
  <si>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</si>
  <si>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</si>
  <si>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</si>
  <si>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</si>
  <si>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</si>
  <si>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</si>
  <si>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</si>
  <si>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</si>
  <si>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</si>
  <si>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</si>
  <si>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</si>
  <si>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</si>
  <si>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</si>
  <si>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</si>
  <si>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</si>
  <si>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</si>
  <si>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</si>
  <si>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</si>
  <si>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</si>
  <si>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</si>
  <si>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</si>
  <si>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</si>
  <si>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</si>
  <si>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</si>
  <si>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</si>
  <si>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</si>
  <si>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</si>
  <si>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</si>
  <si>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</si>
  <si>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</si>
  <si>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</si>
  <si>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</si>
  <si>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</si>
  <si>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</si>
  <si>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</si>
  <si>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</si>
  <si>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</si>
  <si>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</si>
  <si>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</si>
  <si>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</si>
  <si>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</si>
  <si>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</si>
  <si>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</si>
  <si>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</si>
  <si>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</si>
  <si>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</si>
  <si>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</si>
  <si>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</si>
  <si>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</si>
  <si>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</si>
  <si>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</si>
  <si>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</si>
  <si>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</si>
  <si>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</si>
  <si>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</si>
  <si>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</si>
  <si>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</si>
  <si>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</si>
  <si>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</si>
  <si>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</si>
  <si>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</si>
  <si>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</si>
  <si>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</si>
  <si>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</si>
  <si>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</si>
  <si>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</si>
  <si>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</si>
  <si>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</si>
  <si>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</si>
  <si>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</si>
  <si>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</si>
  <si>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</si>
  <si>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</si>
  <si>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</si>
  <si>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</si>
  <si>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</si>
  <si>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</si>
  <si>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</si>
  <si>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</si>
  <si>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</si>
  <si>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</si>
  <si>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</si>
  <si>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</si>
  <si>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</si>
  <si>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</si>
  <si>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</si>
  <si>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</si>
  <si>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</si>
  <si>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</si>
  <si>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</si>
  <si>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</si>
  <si>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</si>
  <si>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</si>
  <si>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</si>
  <si>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</si>
  <si>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</si>
  <si>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</si>
  <si>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</si>
  <si>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</si>
  <si>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</si>
  <si>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</si>
  <si>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</si>
  <si>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</si>
  <si>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</si>
  <si>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</si>
  <si>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</si>
  <si>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</si>
  <si>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</si>
  <si>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</si>
  <si>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</si>
  <si>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</si>
  <si>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</si>
  <si>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</si>
  <si>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</si>
  <si>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</si>
  <si>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</si>
  <si>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</si>
  <si>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</si>
  <si>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</si>
  <si>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</si>
  <si>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</si>
  <si>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</si>
  <si>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</si>
  <si>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</si>
  <si>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</si>
  <si>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</si>
  <si>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</si>
  <si>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</si>
  <si>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</si>
  <si>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</si>
  <si>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</si>
  <si>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</si>
  <si>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</si>
  <si>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</si>
  <si>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</si>
  <si>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</si>
  <si>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</si>
  <si>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</si>
  <si>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</si>
  <si>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</si>
  <si>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</si>
  <si>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</si>
  <si>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</si>
  <si>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</si>
  <si>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</si>
  <si>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</si>
  <si>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</si>
  <si>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</si>
  <si>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</si>
  <si>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</si>
  <si>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</si>
  <si>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</si>
  <si>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</si>
  <si>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</si>
  <si>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</si>
  <si>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</si>
  <si>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</si>
  <si>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</si>
  <si>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</si>
  <si>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</si>
  <si>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</si>
  <si>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</si>
  <si>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</si>
  <si>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</si>
  <si>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</si>
  <si>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</si>
  <si>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</si>
  <si>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</si>
  <si>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</si>
  <si>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</si>
  <si>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</si>
  <si>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</si>
  <si>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</si>
  <si>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</si>
  <si>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</si>
  <si>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</si>
  <si>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</si>
  <si>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</si>
  <si>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</si>
  <si>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</si>
  <si>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</si>
  <si>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</si>
  <si>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</si>
  <si>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</si>
  <si>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</si>
  <si>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</si>
  <si>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</si>
  <si>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</si>
  <si>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</si>
  <si>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</si>
  <si>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</si>
  <si>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</si>
  <si>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</si>
  <si>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</si>
  <si>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</si>
  <si>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</si>
  <si>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</si>
  <si>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</si>
  <si>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</si>
  <si>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</si>
  <si>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</si>
  <si>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</si>
  <si>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</si>
  <si>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</si>
  <si>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</si>
  <si>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</si>
  <si>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</si>
  <si>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</si>
  <si>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</si>
  <si>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</si>
  <si>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</si>
  <si>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</si>
  <si>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</si>
  <si>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</si>
  <si>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</si>
  <si>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</si>
  <si>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</si>
  <si>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</si>
  <si>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</si>
  <si>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</si>
  <si>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</si>
  <si>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</si>
  <si>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</si>
  <si>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</si>
  <si>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</si>
  <si>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</si>
  <si>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</si>
  <si>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</si>
  <si>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</si>
  <si>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</si>
  <si>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</si>
  <si>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</si>
  <si>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</si>
  <si>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</si>
  <si>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</si>
  <si>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</si>
  <si>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</si>
  <si>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</si>
  <si>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</si>
  <si>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</si>
  <si>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</si>
  <si>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</si>
  <si>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</si>
  <si>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</si>
  <si>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</si>
  <si>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</si>
  <si>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</si>
  <si>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</si>
  <si>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</si>
  <si>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</si>
  <si>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</si>
  <si>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</si>
  <si>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</si>
  <si>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</si>
  <si>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</si>
  <si>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</si>
  <si>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</si>
  <si>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</si>
  <si>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</si>
  <si>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</si>
  <si>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</si>
  <si>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</si>
  <si>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</si>
  <si>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</si>
  <si>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</si>
  <si>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</si>
  <si>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</si>
  <si>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</si>
  <si>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</si>
  <si>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</si>
  <si>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</si>
  <si>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</si>
  <si>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</si>
  <si>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</si>
  <si>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</si>
  <si>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</si>
  <si>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</si>
  <si>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</si>
  <si>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</si>
  <si>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</si>
  <si>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</si>
  <si>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</si>
  <si>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</si>
  <si>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</si>
  <si>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</si>
  <si>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</si>
  <si>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</si>
  <si>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</si>
  <si>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</si>
  <si>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</si>
  <si>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</si>
  <si>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</si>
  <si>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</si>
  <si>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</si>
  <si>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</si>
  <si>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</si>
  <si>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</si>
  <si>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</si>
  <si>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</si>
  <si>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</si>
  <si>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</si>
  <si>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</si>
  <si>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</si>
  <si>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</si>
  <si>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</si>
  <si>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</si>
  <si>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</si>
  <si>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</si>
  <si>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</si>
  <si>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</si>
  <si>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</si>
  <si>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</si>
  <si>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</si>
  <si>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</si>
  <si>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</si>
  <si>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</si>
  <si>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</si>
  <si>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</si>
  <si>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</si>
  <si>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</si>
  <si>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</si>
  <si>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</si>
  <si>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</si>
  <si>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</si>
  <si>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</si>
  <si>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</si>
  <si>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</si>
  <si>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</si>
  <si>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</si>
  <si>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</si>
  <si>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</si>
  <si>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</si>
  <si>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</si>
  <si>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</si>
  <si>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</si>
  <si>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</si>
  <si>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</si>
  <si>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</si>
  <si>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</si>
  <si>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</si>
  <si>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</si>
  <si>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</si>
  <si>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</si>
  <si>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</si>
  <si>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</si>
  <si>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</si>
  <si>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</si>
  <si>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</si>
  <si>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</si>
  <si>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</si>
  <si>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</si>
  <si>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</si>
  <si>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</si>
  <si>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</si>
  <si>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</si>
  <si>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</si>
  <si>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</si>
  <si>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</si>
  <si>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</si>
  <si>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</si>
  <si>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</si>
  <si>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</si>
  <si>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</si>
  <si>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</si>
  <si>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</si>
  <si>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</si>
  <si>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</si>
  <si>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</si>
  <si>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</si>
  <si>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</si>
  <si>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</si>
  <si>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</si>
  <si>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</si>
  <si>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</si>
  <si>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</si>
  <si>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</si>
  <si>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</si>
  <si>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</si>
  <si>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</si>
  <si>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</si>
  <si>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</si>
  <si>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</si>
  <si>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</si>
  <si>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</si>
  <si>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</si>
  <si>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</si>
  <si>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</si>
  <si>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</si>
  <si>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</si>
  <si>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</si>
  <si>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</si>
  <si>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</si>
  <si>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</si>
  <si>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</si>
  <si>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</si>
  <si>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</si>
  <si>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</si>
  <si>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</si>
  <si>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</si>
  <si>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</si>
  <si>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</si>
  <si>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</si>
  <si>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</si>
  <si>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</si>
  <si>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</si>
  <si>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</si>
  <si>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</si>
  <si>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</si>
  <si>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</si>
  <si>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</si>
  <si>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</si>
  <si>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</si>
  <si>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</si>
  <si>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</si>
  <si>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</si>
  <si>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</si>
  <si>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</si>
  <si>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</si>
  <si>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</si>
  <si>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</si>
  <si>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</si>
  <si>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</si>
  <si>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</si>
  <si>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</si>
  <si>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</si>
  <si>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</si>
  <si>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</si>
  <si>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</si>
  <si>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</si>
  <si>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</si>
  <si>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</si>
  <si>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</si>
  <si>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</si>
  <si>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</si>
  <si>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</si>
  <si>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</si>
  <si>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</si>
  <si>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</si>
  <si>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</si>
  <si>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</si>
  <si>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</si>
  <si>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</si>
  <si>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</si>
  <si>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</si>
  <si>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</si>
  <si>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</si>
  <si>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</si>
  <si>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</si>
  <si>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</si>
  <si>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</si>
  <si>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</si>
  <si>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</si>
  <si>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</si>
  <si>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</si>
  <si>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</si>
  <si>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</si>
  <si>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</si>
  <si>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</si>
  <si>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</si>
  <si>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</si>
  <si>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</si>
  <si>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</si>
  <si>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</si>
  <si>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</si>
  <si>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</si>
  <si>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</si>
  <si>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</si>
  <si>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</si>
  <si>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</si>
  <si>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</si>
  <si>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</si>
  <si>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</si>
  <si>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</si>
  <si>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</si>
  <si>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</si>
  <si>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</si>
  <si>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</si>
  <si>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</si>
  <si>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</si>
  <si>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</si>
  <si>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</si>
  <si>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</si>
  <si>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</si>
  <si>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</si>
  <si>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</si>
  <si>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</si>
  <si>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</si>
  <si>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</si>
  <si>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</si>
  <si>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</si>
  <si>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</si>
  <si>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</si>
  <si>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</si>
  <si>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</si>
  <si>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</si>
  <si>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</si>
  <si>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</si>
  <si>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</si>
  <si>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</si>
  <si>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</si>
  <si>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</si>
  <si>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</si>
  <si>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</si>
  <si>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</si>
  <si>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</si>
  <si>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</si>
  <si>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</si>
  <si>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</si>
  <si>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</si>
  <si>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</si>
  <si>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</si>
  <si>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</si>
  <si>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</si>
  <si>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</si>
  <si>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</si>
  <si>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</si>
  <si>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</si>
  <si>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</si>
  <si>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</si>
  <si>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</si>
  <si>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</si>
  <si>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</si>
  <si>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</si>
  <si>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</si>
  <si>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</si>
  <si>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</si>
  <si>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</si>
  <si>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</si>
  <si>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</si>
  <si>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</si>
  <si>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</si>
  <si>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</si>
  <si>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</si>
  <si>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</si>
  <si>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</si>
  <si>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</si>
  <si>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</si>
  <si>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</si>
  <si>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</si>
  <si>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</si>
  <si>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</si>
  <si>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</si>
  <si>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</si>
  <si>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</si>
  <si>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</si>
  <si>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</si>
  <si>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</si>
  <si>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</si>
  <si>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</si>
  <si>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</si>
  <si>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</si>
  <si>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</si>
  <si>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</si>
  <si>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</si>
  <si>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</si>
  <si>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</si>
  <si>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</si>
  <si>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</si>
  <si>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</si>
  <si>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</si>
  <si>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</si>
  <si>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</si>
  <si>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</si>
  <si>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</si>
  <si>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</si>
  <si>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</si>
  <si>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</si>
  <si>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</si>
  <si>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</si>
  <si>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</si>
  <si>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</si>
  <si>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</si>
  <si>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</si>
  <si>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</si>
  <si>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</si>
  <si>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</si>
  <si>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</si>
  <si>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</si>
  <si>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</si>
  <si>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</si>
  <si>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</si>
  <si>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</si>
  <si>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</si>
  <si>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</si>
  <si>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</si>
  <si>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</si>
  <si>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</si>
  <si>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</si>
  <si>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</si>
  <si>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</si>
  <si>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</si>
  <si>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</si>
  <si>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</si>
  <si>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</si>
  <si>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</si>
  <si>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</si>
  <si>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</si>
  <si>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</si>
  <si>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</si>
  <si>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</si>
  <si>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</si>
  <si>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</si>
  <si>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</si>
  <si>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</si>
  <si>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</si>
  <si>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</si>
  <si>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</si>
  <si>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</si>
  <si>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</si>
  <si>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</si>
  <si>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</si>
  <si>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</si>
  <si>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</si>
  <si>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</si>
  <si>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</si>
  <si>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</si>
  <si>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</si>
  <si>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</si>
  <si>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</si>
  <si>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</si>
  <si>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</si>
  <si>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</si>
  <si>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</si>
  <si>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</si>
  <si>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</si>
  <si>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</si>
  <si>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</si>
  <si>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</si>
  <si>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</si>
  <si>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</si>
  <si>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</si>
  <si>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</si>
  <si>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</si>
  <si>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</si>
  <si>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</si>
  <si>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</si>
  <si>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</si>
  <si>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</si>
  <si>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</si>
  <si>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</si>
  <si>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</si>
  <si>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</si>
  <si>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</si>
  <si>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</si>
  <si>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</si>
  <si>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</si>
  <si>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</si>
  <si>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</si>
  <si>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</si>
  <si>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</si>
  <si>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</si>
  <si>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</si>
  <si>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</si>
  <si>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</si>
  <si>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</si>
  <si>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</si>
  <si>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</si>
  <si>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</si>
  <si>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</si>
  <si>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</si>
  <si>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</si>
  <si>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</si>
  <si>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</si>
  <si>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</si>
  <si>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</si>
  <si>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</si>
  <si>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</si>
  <si>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</si>
  <si>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</si>
  <si>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</si>
  <si>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</si>
  <si>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</si>
  <si>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</si>
  <si>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</si>
  <si>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</si>
  <si>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</si>
  <si>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</si>
  <si>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</si>
  <si>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</si>
  <si>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</si>
  <si>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</si>
  <si>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</si>
  <si>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</si>
  <si>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</si>
  <si>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</si>
  <si>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</si>
  <si>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</si>
  <si>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</si>
  <si>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</si>
  <si>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</si>
  <si>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</si>
  <si>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</si>
  <si>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</si>
  <si>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</si>
  <si>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</si>
  <si>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</si>
  <si>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</si>
  <si>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</si>
  <si>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</si>
  <si>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</si>
  <si>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</si>
  <si>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</si>
  <si>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</si>
  <si>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</si>
  <si>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</si>
  <si>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</si>
  <si>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</si>
  <si>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</si>
  <si>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</si>
  <si>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</si>
  <si>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</si>
  <si>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</si>
  <si>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</si>
  <si>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</si>
  <si>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</si>
  <si>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</si>
  <si>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</si>
  <si>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</si>
  <si>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</si>
  <si>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</si>
  <si>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</si>
  <si>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</si>
  <si>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</si>
  <si>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</si>
  <si>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</si>
  <si>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</si>
  <si>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</si>
  <si>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</si>
  <si>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</si>
  <si>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</si>
  <si>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</si>
  <si>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</si>
  <si>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</si>
  <si>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</si>
  <si>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</si>
  <si>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</si>
  <si>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</si>
  <si>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</si>
  <si>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</si>
  <si>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</si>
  <si>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</si>
  <si>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</si>
  <si>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</si>
  <si>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</si>
  <si>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</si>
  <si>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</si>
  <si>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</si>
  <si>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</si>
  <si>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</si>
  <si>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</si>
  <si>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</si>
  <si>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</si>
  <si>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</si>
  <si>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</si>
  <si>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</si>
  <si>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</si>
  <si>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</si>
  <si>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</si>
  <si>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</si>
  <si>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</si>
  <si>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</si>
  <si>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</si>
  <si>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</si>
  <si>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</si>
  <si>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</si>
  <si>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</si>
  <si>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</si>
  <si>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</si>
  <si>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</si>
  <si>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</si>
  <si>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</si>
  <si>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</si>
  <si>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</si>
  <si>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</si>
  <si>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</si>
  <si>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</si>
  <si>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</si>
  <si>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</si>
  <si>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</si>
  <si>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</si>
  <si>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</si>
  <si>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</si>
  <si>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</si>
  <si>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</si>
  <si>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</si>
  <si>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</si>
  <si>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</si>
  <si>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</si>
  <si>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</si>
  <si>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</si>
  <si>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</si>
  <si>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</si>
  <si>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</si>
  <si>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</si>
  <si>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</si>
  <si>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</si>
  <si>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</si>
  <si>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</si>
  <si>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</si>
  <si>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</si>
  <si>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</si>
  <si>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</si>
  <si>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</si>
  <si>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</si>
  <si>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</si>
  <si>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</si>
  <si>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</si>
  <si>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</si>
  <si>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</si>
  <si>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</si>
  <si>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</si>
  <si>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</si>
  <si>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</si>
  <si>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</si>
  <si>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</si>
  <si>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</si>
  <si>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</si>
  <si>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</si>
  <si>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</si>
  <si>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</si>
  <si>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</si>
  <si>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</si>
  <si>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</si>
  <si>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</si>
  <si>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</si>
  <si>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</si>
  <si>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</si>
  <si>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</si>
  <si>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</si>
  <si>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</si>
  <si>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</si>
  <si>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</si>
  <si>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</si>
  <si>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</si>
  <si>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</si>
  <si>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</si>
  <si>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</si>
  <si>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</si>
  <si>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</si>
  <si>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</si>
  <si>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</si>
  <si>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</si>
  <si>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</si>
  <si>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</si>
  <si>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</si>
  <si>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</si>
  <si>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</si>
  <si>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</si>
  <si>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</si>
  <si>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</si>
  <si>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</si>
  <si>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</si>
  <si>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</si>
  <si>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</si>
  <si>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</si>
  <si>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</si>
  <si>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</si>
  <si>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</si>
  <si>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</si>
  <si>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</si>
  <si>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</si>
  <si>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</si>
  <si>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</si>
  <si>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</si>
  <si>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</si>
  <si>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</si>
  <si>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</si>
  <si>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</si>
  <si>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</si>
  <si>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</si>
  <si>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</si>
  <si>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</si>
  <si>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</si>
  <si>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</si>
  <si>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</si>
  <si>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</si>
  <si>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</si>
  <si>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</si>
  <si>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</si>
  <si>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</si>
  <si>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</si>
  <si>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</si>
  <si>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</si>
  <si>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</si>
  <si>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</si>
  <si>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</si>
  <si>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</si>
  <si>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</si>
  <si>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</si>
  <si>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</si>
  <si>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</si>
  <si>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</si>
  <si>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</si>
  <si>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</si>
  <si>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</si>
  <si>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</si>
  <si>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</si>
  <si>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</si>
  <si>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</si>
  <si>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</si>
  <si>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</si>
  <si>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</si>
  <si>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</si>
  <si>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</si>
  <si>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</si>
  <si>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</si>
  <si>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</si>
  <si>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</si>
  <si>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</si>
  <si>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</si>
  <si>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</si>
  <si>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</si>
  <si>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</si>
  <si>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</si>
  <si>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</si>
  <si>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</si>
  <si>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</si>
  <si>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</si>
  <si>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</si>
  <si>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</si>
  <si>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</si>
  <si>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</si>
  <si>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</si>
  <si>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</si>
  <si>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</si>
  <si>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</si>
  <si>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</si>
  <si>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</si>
  <si>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</si>
  <si>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</si>
  <si>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</si>
  <si>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</si>
  <si>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</si>
  <si>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</si>
  <si>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</si>
  <si>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</si>
  <si>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</si>
  <si>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</si>
  <si>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</si>
  <si>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</si>
  <si>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</si>
  <si>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</si>
  <si>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</si>
  <si>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</si>
  <si>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</si>
  <si>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</si>
  <si>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</si>
  <si>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</si>
  <si>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</si>
  <si>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</si>
  <si>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</si>
  <si>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</si>
  <si>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</si>
  <si>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</si>
  <si>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</si>
  <si>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</si>
  <si>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</si>
  <si>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</si>
  <si>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</si>
  <si>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</si>
  <si>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</si>
  <si>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</si>
  <si>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</si>
  <si>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</si>
  <si>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</si>
  <si>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</si>
  <si>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</si>
  <si>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</si>
  <si>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</si>
  <si>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</si>
  <si>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</si>
  <si>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</si>
  <si>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</si>
  <si>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</si>
  <si>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</si>
  <si>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</si>
  <si>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</si>
  <si>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</si>
  <si>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</si>
  <si>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</si>
  <si>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</si>
  <si>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</si>
  <si>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</si>
  <si>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</si>
  <si>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</si>
  <si>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</si>
  <si>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</si>
  <si>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</si>
  <si>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</si>
  <si>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</si>
  <si>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</si>
  <si>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</si>
  <si>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</si>
  <si>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</si>
  <si>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</si>
  <si>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</si>
  <si>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</si>
  <si>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</si>
  <si>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</si>
  <si>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</si>
  <si>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</si>
  <si>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</si>
  <si>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</si>
  <si>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</si>
  <si>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</si>
  <si>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</si>
  <si>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</si>
  <si>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</si>
  <si>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</si>
  <si>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</si>
  <si>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</si>
  <si>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</si>
  <si>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</si>
  <si>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</si>
  <si>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</si>
  <si>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</si>
  <si>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</si>
  <si>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</si>
  <si>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</si>
  <si>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</si>
  <si>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</si>
  <si>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</si>
  <si>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</si>
  <si>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</si>
  <si>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</si>
  <si>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</si>
  <si>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</si>
  <si>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</si>
  <si>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</si>
  <si>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</si>
  <si>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</si>
  <si>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</si>
  <si>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</si>
  <si>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</si>
  <si>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</si>
  <si>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</si>
  <si>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</si>
  <si>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</si>
  <si>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</si>
  <si>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</si>
  <si>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</si>
  <si>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</si>
  <si>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</si>
  <si>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</si>
  <si>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</si>
  <si>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</si>
  <si>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</si>
  <si>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</si>
  <si>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</si>
  <si>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</si>
  <si>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</si>
  <si>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</si>
  <si>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</si>
  <si>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</si>
  <si>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</si>
  <si>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</si>
  <si>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</si>
  <si>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</si>
  <si>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</si>
  <si>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</si>
  <si>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</si>
  <si>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</si>
  <si>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</si>
  <si>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</si>
  <si>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</si>
  <si>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</si>
  <si>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</si>
  <si>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</si>
  <si>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</si>
  <si>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</si>
  <si>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</si>
  <si>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</si>
  <si>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</si>
  <si>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</si>
  <si>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</si>
  <si>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</si>
  <si>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</si>
  <si>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</si>
  <si>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</si>
  <si>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</si>
  <si>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</si>
  <si>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</si>
  <si>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</si>
  <si>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</si>
  <si>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</si>
  <si>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</si>
  <si>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</si>
  <si>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</si>
  <si>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</si>
  <si>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</si>
  <si>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</si>
  <si>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</si>
  <si>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</si>
  <si>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</si>
  <si>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</si>
  <si>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</si>
  <si>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</si>
  <si>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</si>
  <si>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</si>
  <si>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</si>
  <si>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</si>
  <si>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</si>
  <si>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</si>
  <si>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</si>
  <si>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</si>
  <si>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</si>
  <si>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</si>
  <si>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</si>
  <si>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</si>
  <si>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</si>
  <si>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</si>
  <si>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</si>
  <si>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</si>
  <si>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</si>
  <si>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</si>
  <si>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</si>
  <si>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</si>
  <si>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</si>
  <si>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</si>
  <si>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</si>
  <si>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</si>
  <si>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</si>
  <si>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</si>
  <si>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</si>
  <si>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</si>
  <si>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</si>
  <si>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</si>
  <si>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</si>
  <si>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</si>
  <si>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</si>
  <si>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</si>
  <si>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</si>
  <si>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</si>
  <si>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</si>
  <si>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</si>
  <si>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</si>
  <si>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</si>
  <si>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</si>
  <si>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</si>
  <si>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</si>
  <si>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</si>
  <si>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</si>
  <si>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</si>
  <si>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</si>
  <si>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</si>
  <si>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</si>
  <si>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</si>
  <si>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</si>
  <si>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</si>
  <si>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</si>
  <si>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</si>
  <si>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</si>
  <si>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</si>
  <si>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</si>
  <si>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</si>
  <si>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</si>
  <si>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</si>
  <si>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</si>
  <si>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</si>
  <si>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</si>
  <si>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</si>
  <si>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</si>
  <si>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</si>
  <si>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</si>
  <si>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</si>
  <si>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</si>
  <si>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</si>
  <si>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</si>
  <si>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</si>
  <si>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</si>
  <si>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</si>
  <si>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</si>
  <si>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</si>
  <si>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</si>
  <si>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</si>
  <si>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</si>
  <si>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</si>
  <si>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</si>
  <si>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</si>
  <si>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</si>
  <si>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</si>
  <si>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</si>
  <si>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</si>
  <si>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</si>
  <si>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</si>
  <si>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</si>
  <si>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</si>
  <si>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</si>
  <si>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</si>
  <si>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</si>
  <si>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</si>
  <si>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</si>
  <si>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</si>
  <si>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</si>
  <si>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</si>
  <si>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</si>
  <si>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</si>
  <si>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</si>
  <si>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</si>
  <si>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</si>
  <si>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</si>
  <si>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</si>
  <si>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</si>
  <si>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</si>
  <si>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</si>
  <si>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</si>
  <si>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</si>
  <si>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</si>
  <si>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</si>
  <si>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</si>
  <si>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</si>
  <si>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</si>
  <si>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</si>
  <si>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</si>
  <si>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</si>
  <si>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</si>
  <si>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</si>
  <si>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</si>
  <si>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</si>
  <si>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</si>
  <si>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</si>
  <si>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</si>
  <si>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</si>
  <si>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</si>
  <si>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</si>
  <si>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</si>
  <si>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</si>
  <si>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</si>
  <si>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</si>
  <si>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</si>
  <si>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</si>
  <si>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</si>
  <si>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</si>
  <si>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</si>
  <si>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</si>
  <si>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</si>
  <si>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</si>
  <si>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</si>
  <si>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</si>
  <si>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</si>
  <si>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</si>
  <si>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</si>
  <si>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</si>
  <si>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</si>
  <si>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</si>
  <si>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</si>
  <si>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</si>
  <si>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</si>
  <si>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</si>
  <si>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</si>
  <si>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</si>
  <si>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</si>
  <si>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</si>
  <si>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</si>
  <si>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</si>
  <si>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</si>
  <si>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</si>
  <si>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</si>
  <si>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</si>
  <si>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</si>
  <si>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</si>
  <si>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</si>
  <si>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</si>
  <si>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</si>
  <si>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</si>
  <si>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</si>
  <si>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</si>
  <si>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</si>
  <si>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</si>
  <si>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</si>
  <si>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</si>
  <si>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</si>
  <si>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</si>
  <si>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</si>
  <si>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</si>
  <si>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</si>
  <si>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</si>
  <si>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</si>
  <si>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</si>
  <si>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</si>
  <si>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</si>
  <si>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</si>
  <si>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</si>
  <si>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</si>
  <si>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</si>
  <si>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</si>
  <si>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</si>
  <si>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</si>
  <si>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</si>
  <si>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</si>
  <si>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</si>
  <si>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</si>
  <si>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</si>
  <si>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</si>
  <si>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</si>
  <si>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</si>
  <si>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</si>
  <si>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</si>
  <si>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</si>
  <si>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</si>
  <si>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</si>
  <si>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</si>
  <si>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</si>
  <si>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</si>
  <si>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</si>
  <si>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</si>
  <si>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</si>
  <si>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</si>
  <si>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</si>
  <si>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</si>
  <si>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</si>
  <si>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</si>
  <si>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</si>
  <si>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</si>
  <si>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</si>
  <si>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</si>
  <si>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</si>
  <si>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</si>
  <si>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</si>
  <si>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</si>
  <si>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</si>
  <si>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</si>
  <si>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</si>
  <si>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</si>
  <si>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</si>
  <si>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</si>
  <si>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</si>
  <si>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</si>
  <si>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</si>
  <si>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</si>
  <si>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</si>
  <si>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</si>
  <si>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</si>
  <si>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</si>
  <si>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</si>
  <si>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</si>
  <si>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</si>
  <si>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</si>
  <si>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</si>
  <si>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</si>
  <si>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</si>
  <si>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</si>
  <si>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</si>
  <si>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</si>
  <si>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</si>
  <si>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</si>
  <si>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</si>
  <si>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</si>
  <si>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</si>
  <si>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</si>
  <si>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</si>
  <si>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</si>
  <si>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</si>
  <si>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</si>
  <si>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</si>
  <si>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</si>
  <si>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</si>
  <si>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</si>
  <si>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</si>
  <si>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</si>
  <si>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</si>
  <si>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</si>
  <si>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</si>
  <si>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</si>
  <si>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</si>
  <si>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</si>
  <si>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</si>
  <si>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</si>
  <si>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</si>
  <si>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</si>
  <si>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</si>
  <si>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</si>
  <si>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</si>
  <si>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</si>
  <si>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</si>
  <si>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</si>
  <si>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</si>
  <si>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</si>
  <si>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</si>
  <si>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</si>
  <si>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</si>
  <si>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</si>
  <si>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</si>
  <si>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</si>
  <si>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</si>
  <si>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</si>
  <si>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</si>
  <si>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</si>
  <si>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</si>
  <si>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</si>
  <si>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</si>
  <si>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</si>
  <si>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</si>
  <si>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</si>
  <si>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</si>
  <si>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</si>
  <si>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</si>
  <si>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</si>
  <si>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</si>
  <si>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</si>
  <si>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</si>
  <si>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</si>
  <si>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</si>
  <si>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</si>
  <si>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</si>
  <si>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</si>
  <si>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</si>
  <si>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</si>
  <si>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</si>
  <si>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</si>
  <si>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</si>
  <si>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</si>
  <si>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</si>
  <si>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</si>
  <si>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</si>
  <si>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</si>
  <si>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</si>
  <si>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</si>
  <si>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</si>
  <si>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</si>
  <si>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</si>
  <si>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</si>
  <si>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</si>
  <si>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</si>
  <si>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</si>
  <si>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</si>
  <si>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</si>
  <si>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</si>
  <si>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</si>
  <si>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</si>
  <si>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</si>
  <si>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</si>
  <si>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</si>
  <si>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</si>
  <si>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</si>
  <si>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</si>
  <si>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</si>
  <si>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</si>
  <si>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</si>
  <si>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</si>
  <si>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</si>
  <si>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</si>
  <si>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</si>
  <si>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</si>
  <si>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</si>
  <si>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</si>
  <si>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</si>
  <si>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</si>
  <si>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</si>
  <si>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</si>
  <si>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</si>
  <si>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</si>
  <si>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</si>
  <si>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</si>
  <si>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</si>
  <si>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</si>
  <si>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</si>
  <si>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</si>
  <si>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</si>
  <si>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</si>
  <si>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</si>
  <si>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</si>
  <si>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</si>
  <si>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</si>
  <si>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</si>
  <si>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</si>
  <si>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</si>
  <si>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</si>
  <si>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</si>
  <si>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</si>
  <si>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</si>
  <si>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</si>
  <si>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</si>
  <si>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</si>
  <si>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</si>
  <si>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</si>
  <si>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</si>
  <si>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</si>
  <si>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</si>
  <si>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</si>
  <si>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</si>
  <si>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</si>
  <si>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</si>
  <si>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</si>
  <si>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</si>
  <si>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</si>
  <si>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</si>
  <si>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</si>
  <si>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</si>
  <si>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</si>
  <si>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</si>
  <si>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</si>
  <si>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</si>
  <si>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</si>
  <si>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</si>
  <si>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</si>
  <si>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</si>
  <si>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</si>
  <si>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</si>
  <si>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</si>
  <si>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</si>
  <si>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</si>
  <si>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</si>
  <si>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</si>
  <si>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</si>
  <si>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</si>
  <si>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</si>
  <si>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</si>
  <si>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</si>
  <si>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</si>
  <si>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</si>
  <si>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</si>
  <si>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</si>
  <si>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</si>
  <si>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</si>
  <si>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</si>
  <si>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</si>
  <si>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</si>
  <si>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</si>
  <si>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</si>
  <si>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</si>
  <si>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</si>
  <si>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</si>
  <si>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</si>
  <si>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</si>
  <si>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</si>
  <si>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</si>
  <si>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</si>
  <si>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</si>
  <si>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</si>
  <si>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</si>
  <si>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</si>
  <si>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</si>
  <si>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</si>
  <si>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</si>
  <si>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</si>
  <si>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</si>
  <si>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</si>
  <si>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</si>
  <si>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</si>
  <si>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</si>
  <si>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</si>
  <si>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</si>
  <si>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</si>
  <si>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</si>
  <si>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</si>
  <si>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</si>
  <si>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</si>
  <si>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</si>
  <si>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</si>
  <si>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</si>
  <si>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</si>
  <si>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</si>
  <si>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</si>
  <si>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</si>
  <si>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</si>
  <si>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</si>
  <si>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</si>
  <si>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</si>
  <si>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</si>
  <si>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</si>
  <si>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</si>
  <si>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</si>
  <si>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</si>
  <si>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</si>
  <si>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</si>
  <si>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</si>
  <si>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</si>
  <si>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</si>
  <si>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</si>
  <si>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</si>
  <si>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</si>
  <si>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</si>
  <si>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</si>
  <si>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</si>
  <si>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</si>
  <si>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</si>
  <si>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</si>
  <si>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</si>
  <si>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</si>
  <si>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</si>
  <si>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</si>
  <si>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</si>
  <si>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</si>
  <si>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</si>
  <si>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</si>
  <si>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</si>
  <si>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</si>
  <si>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</si>
  <si>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</si>
  <si>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</si>
  <si>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</si>
  <si>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</si>
  <si>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</si>
  <si>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</si>
  <si>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</si>
  <si>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</si>
  <si>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</si>
  <si>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</si>
  <si>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</si>
  <si>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</si>
  <si>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</si>
  <si>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</si>
  <si>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</si>
  <si>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</si>
  <si>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</si>
  <si>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</si>
  <si>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</si>
  <si>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</si>
  <si>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</si>
  <si>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</si>
  <si>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</si>
  <si>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</si>
  <si>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</si>
  <si>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</si>
  <si>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</si>
  <si>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</si>
  <si>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</si>
  <si>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</si>
  <si>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</si>
  <si>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</si>
  <si>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</si>
  <si>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</si>
  <si>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</si>
  <si>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</si>
  <si>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</si>
  <si>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</si>
  <si>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</si>
  <si>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</si>
  <si>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</si>
  <si>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</si>
  <si>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</si>
  <si>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</si>
  <si>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</si>
  <si>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</si>
  <si>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</si>
  <si>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</si>
  <si>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</si>
  <si>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</si>
  <si>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</si>
  <si>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</si>
  <si>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</si>
  <si>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</si>
  <si>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</si>
  <si>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</si>
  <si>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</si>
  <si>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</si>
  <si>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</si>
  <si>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</si>
  <si>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</si>
  <si>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</si>
  <si>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</si>
  <si>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</si>
  <si>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</si>
  <si>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</si>
  <si>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</si>
  <si>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</si>
  <si>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</si>
  <si>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</si>
  <si>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</si>
  <si>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</si>
  <si>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</si>
  <si>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</si>
  <si>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</si>
  <si>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</si>
  <si>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</si>
  <si>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</si>
  <si>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</si>
  <si>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</si>
  <si>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</si>
  <si>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</si>
  <si>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</si>
  <si>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</si>
  <si>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</si>
  <si>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</si>
  <si>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</si>
  <si>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</si>
  <si>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</si>
  <si>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</si>
  <si>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</si>
  <si>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</si>
  <si>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</si>
  <si>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</si>
  <si>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</si>
  <si>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</si>
  <si>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</si>
  <si>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</si>
  <si>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</si>
  <si>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</si>
  <si>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</si>
  <si>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</si>
  <si>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</si>
  <si>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</si>
  <si>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</si>
  <si>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</si>
  <si>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</si>
  <si>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</si>
  <si>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</si>
  <si>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</si>
  <si>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</si>
  <si>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</si>
  <si>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</si>
  <si>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</si>
  <si>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</si>
  <si>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</si>
  <si>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</si>
  <si>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</si>
  <si>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</si>
  <si>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</si>
  <si>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</si>
  <si>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</si>
  <si>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</si>
  <si>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</si>
  <si>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</si>
  <si>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</si>
  <si>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</si>
  <si>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</si>
  <si>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</si>
  <si>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</si>
  <si>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</si>
  <si>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</si>
  <si>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</si>
  <si>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</si>
  <si>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</si>
  <si>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</si>
  <si>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</si>
  <si>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</si>
  <si>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</si>
  <si>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</si>
  <si>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</si>
  <si>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</si>
  <si>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</si>
  <si>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</si>
  <si>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</si>
  <si>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</si>
  <si>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</si>
  <si>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</si>
  <si>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</si>
  <si>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</si>
  <si>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</si>
  <si>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</si>
  <si>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</si>
  <si>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</si>
  <si>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</si>
  <si>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</si>
  <si>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</si>
  <si>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</si>
  <si>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</si>
  <si>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</si>
  <si>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</si>
  <si>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</si>
  <si>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</si>
  <si>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</si>
  <si>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</si>
  <si>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</si>
  <si>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</si>
  <si>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</si>
  <si>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</si>
  <si>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</si>
  <si>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</si>
  <si>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</si>
  <si>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</si>
  <si>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</si>
  <si>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</si>
  <si>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</si>
  <si>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</si>
  <si>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</si>
  <si>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</si>
  <si>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</si>
  <si>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</si>
  <si>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</si>
  <si>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</si>
  <si>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</si>
  <si>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</si>
  <si>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</si>
  <si>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</si>
  <si>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</si>
  <si>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</si>
  <si>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</si>
  <si>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</si>
  <si>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</si>
  <si>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</si>
  <si>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</si>
  <si>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</si>
  <si>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</si>
  <si>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</si>
  <si>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</si>
  <si>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</si>
  <si>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</si>
  <si>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</si>
  <si>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</si>
  <si>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</si>
  <si>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</si>
  <si>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</si>
  <si>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</si>
  <si>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</si>
  <si>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</si>
  <si>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</si>
  <si>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</si>
  <si>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</si>
  <si>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</si>
  <si>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</si>
  <si>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</si>
  <si>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</si>
  <si>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</si>
  <si>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</si>
  <si>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</si>
  <si>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</si>
  <si>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</si>
  <si>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</si>
  <si>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</si>
  <si>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</si>
  <si>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</si>
  <si>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</si>
  <si>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</si>
  <si>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</si>
  <si>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</si>
  <si>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</si>
  <si>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</si>
  <si>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</si>
  <si>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</si>
  <si>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</si>
  <si>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</si>
  <si>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</si>
  <si>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</si>
  <si>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</si>
  <si>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</si>
  <si>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</si>
  <si>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</si>
  <si>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</si>
  <si>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</si>
  <si>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</si>
  <si>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</si>
  <si>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</si>
  <si>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</si>
  <si>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</si>
  <si>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</si>
  <si>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</si>
  <si>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</si>
  <si>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</si>
  <si>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</si>
  <si>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</si>
  <si>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</si>
  <si>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</si>
  <si>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</si>
  <si>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</si>
  <si>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</si>
  <si>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</si>
  <si>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</si>
  <si>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</si>
  <si>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</si>
  <si>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</si>
  <si>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</si>
  <si>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</si>
  <si>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</si>
  <si>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</si>
  <si>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</si>
  <si>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</si>
  <si>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</si>
  <si>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</si>
  <si>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</si>
  <si>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</si>
  <si>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</si>
  <si>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</si>
  <si>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</si>
  <si>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</si>
  <si>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</si>
  <si>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</si>
  <si>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</si>
  <si>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</si>
  <si>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</si>
  <si>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</si>
  <si>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</si>
  <si>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</si>
  <si>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</si>
  <si>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</si>
  <si>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</si>
  <si>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</si>
  <si>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</si>
  <si>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</si>
  <si>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</si>
  <si>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</si>
  <si>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</si>
  <si>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</si>
  <si>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</si>
  <si>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</si>
  <si>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</si>
  <si>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</si>
  <si>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</si>
  <si>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</si>
  <si>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</si>
  <si>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</si>
  <si>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</si>
  <si>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</si>
  <si>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</si>
  <si>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</si>
  <si>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</si>
  <si>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</si>
  <si>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</si>
  <si>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</si>
  <si>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</si>
  <si>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</si>
  <si>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</si>
  <si>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</si>
  <si>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</si>
  <si>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</si>
  <si>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</si>
  <si>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</si>
  <si>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</si>
  <si>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</si>
  <si>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</si>
  <si>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</si>
  <si>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</si>
  <si>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</si>
  <si>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</si>
  <si>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</si>
  <si>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</si>
  <si>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</si>
  <si>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</si>
  <si>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</si>
  <si>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</si>
  <si>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</si>
  <si>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</si>
  <si>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</si>
  <si>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</si>
  <si>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</si>
  <si>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</si>
  <si>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</si>
  <si>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</si>
  <si>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</si>
  <si>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</si>
  <si>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</si>
  <si>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</si>
  <si>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</si>
  <si>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</si>
  <si>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</si>
  <si>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</si>
  <si>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</si>
  <si>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</si>
  <si>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</si>
  <si>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</si>
  <si>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</si>
  <si>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</si>
  <si>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</si>
  <si>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</si>
  <si>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</si>
  <si>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</si>
  <si>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</si>
  <si>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</si>
  <si>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</si>
  <si>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</si>
  <si>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</si>
  <si>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</si>
  <si>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</si>
  <si>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</si>
  <si>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</si>
  <si>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</si>
  <si>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</si>
  <si>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</si>
  <si>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</si>
  <si>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</si>
  <si>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</si>
  <si>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</si>
  <si>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</si>
  <si>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</si>
  <si>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</si>
  <si>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</si>
  <si>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</si>
  <si>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</si>
  <si>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</si>
  <si>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</si>
  <si>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</si>
  <si>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</si>
  <si>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</si>
  <si>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</si>
  <si>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</si>
  <si>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</si>
  <si>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</si>
  <si>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</si>
  <si>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</si>
  <si>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</si>
  <si>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</si>
  <si>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</si>
  <si>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</si>
  <si>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</si>
  <si>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</si>
  <si>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</si>
  <si>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</si>
  <si>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</si>
  <si>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</si>
  <si>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</si>
  <si>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</si>
  <si>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</si>
  <si>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</si>
  <si>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</si>
  <si>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</si>
  <si>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</si>
  <si>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</si>
  <si>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</si>
  <si>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</si>
  <si>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</si>
  <si>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</si>
  <si>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</si>
  <si>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</si>
  <si>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</si>
  <si>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</si>
  <si>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</si>
  <si>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</si>
  <si>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</si>
  <si>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</si>
  <si>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</si>
  <si>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</si>
  <si>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</si>
  <si>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</si>
  <si>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</si>
  <si>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</si>
  <si>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</si>
  <si>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</si>
  <si>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</si>
  <si>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</si>
  <si>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</si>
  <si>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</si>
  <si>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</si>
  <si>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</si>
  <si>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</si>
  <si>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</si>
  <si>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</si>
  <si>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</si>
  <si>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</si>
  <si>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</si>
  <si>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</si>
  <si>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</si>
  <si>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</si>
  <si>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</si>
  <si>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</si>
  <si>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</si>
  <si>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</si>
  <si>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</si>
  <si>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</si>
  <si>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</si>
  <si>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</si>
  <si>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</si>
  <si>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</si>
  <si>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</si>
  <si>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</si>
  <si>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</si>
  <si>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</si>
  <si>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</si>
  <si>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</si>
  <si>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</si>
  <si>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</si>
  <si>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</si>
  <si>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</si>
  <si>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</si>
  <si>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</si>
  <si>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</si>
  <si>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</si>
  <si>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</si>
  <si>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</si>
  <si>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</si>
  <si>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</si>
  <si>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</si>
  <si>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</si>
  <si>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</si>
  <si>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</si>
  <si>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</si>
  <si>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</si>
  <si>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</si>
  <si>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</si>
  <si>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</si>
  <si>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</si>
  <si>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</si>
  <si>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</si>
  <si>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</si>
  <si>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</si>
  <si>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</si>
  <si>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</si>
  <si>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</si>
  <si>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</si>
  <si>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</si>
  <si>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</si>
  <si>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</si>
  <si>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</si>
  <si>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</si>
  <si>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</si>
  <si>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</si>
  <si>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</si>
  <si>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</si>
  <si>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</si>
  <si>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</si>
  <si>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</si>
  <si>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</si>
  <si>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</si>
  <si>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</si>
  <si>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</si>
  <si>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</si>
  <si>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</si>
  <si>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</si>
  <si>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</si>
  <si>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</si>
  <si>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</si>
  <si>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</si>
  <si>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</si>
  <si>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</si>
  <si>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</si>
  <si>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</si>
  <si>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</si>
  <si>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</si>
  <si>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</si>
  <si>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</si>
  <si>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</si>
  <si>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</si>
  <si>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</si>
  <si>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</si>
  <si>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</si>
  <si>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</si>
  <si>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</si>
  <si>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</si>
  <si>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</si>
  <si>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</si>
  <si>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</si>
  <si>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</si>
  <si>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</si>
  <si>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</si>
  <si>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</si>
  <si>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</si>
  <si>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</si>
  <si>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</si>
  <si>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</si>
  <si>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</si>
  <si>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</si>
  <si>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</si>
  <si>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</si>
  <si>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</si>
  <si>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</si>
  <si>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</si>
  <si>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</si>
  <si>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</si>
  <si>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</si>
  <si>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</si>
  <si>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</si>
  <si>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</si>
  <si>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</si>
  <si>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</si>
  <si>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</si>
  <si>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</si>
  <si>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</si>
  <si>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</si>
  <si>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</si>
  <si>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</si>
  <si>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</si>
  <si>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</si>
  <si>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</si>
  <si>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</si>
  <si>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</si>
  <si>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</si>
  <si>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</si>
  <si>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</si>
  <si>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</si>
  <si>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</si>
  <si>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</si>
  <si>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</si>
  <si>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</si>
  <si>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</si>
  <si>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</si>
  <si>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</si>
  <si>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</si>
  <si>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</si>
  <si>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</si>
  <si>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</si>
  <si>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</si>
  <si>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</si>
  <si>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</si>
  <si>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</si>
  <si>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</si>
  <si>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</si>
  <si>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</si>
  <si>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</si>
  <si>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</si>
  <si>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</si>
  <si>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</si>
  <si>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</si>
  <si>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</si>
  <si>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</si>
  <si>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</si>
  <si>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</si>
  <si>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</si>
  <si>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</si>
  <si>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</si>
  <si>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</si>
  <si>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</si>
  <si>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</si>
  <si>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</si>
  <si>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</si>
  <si>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</si>
  <si>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</si>
  <si>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</si>
  <si>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</si>
  <si>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</si>
  <si>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</si>
  <si>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</si>
  <si>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</si>
  <si>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</si>
  <si>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</si>
  <si>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</si>
  <si>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</si>
  <si>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</si>
  <si>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</si>
  <si>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</si>
  <si>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</si>
  <si>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</si>
  <si>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</si>
  <si>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</si>
  <si>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</si>
  <si>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</si>
  <si>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</si>
  <si>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</si>
  <si>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</si>
  <si>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</si>
  <si>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</si>
  <si>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</si>
  <si>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</si>
  <si>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</si>
  <si>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</si>
  <si>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</si>
  <si>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</si>
  <si>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</si>
  <si>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</si>
  <si>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</si>
  <si>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</si>
  <si>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</si>
  <si>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</si>
  <si>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</si>
  <si>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</si>
  <si>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</si>
  <si>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</si>
  <si>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</si>
  <si>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</si>
  <si>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</si>
  <si>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</si>
  <si>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</si>
  <si>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</si>
  <si>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</si>
  <si>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</si>
  <si>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</si>
  <si>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</si>
  <si>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</si>
  <si>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</si>
  <si>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</si>
  <si>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</si>
  <si>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</si>
  <si>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</si>
  <si>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</si>
  <si>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</si>
  <si>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</si>
  <si>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</si>
  <si>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</si>
  <si>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</si>
  <si>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</si>
  <si>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</si>
  <si>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</si>
  <si>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</si>
  <si>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</si>
  <si>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</si>
  <si>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</si>
  <si>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</si>
  <si>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</si>
  <si>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</si>
  <si>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</si>
  <si>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</si>
  <si>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</si>
  <si>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</si>
  <si>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</si>
  <si>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</si>
  <si>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</si>
  <si>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</si>
  <si>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</si>
  <si>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</si>
  <si>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</si>
  <si>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</si>
  <si>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</si>
  <si>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</si>
  <si>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</si>
  <si>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</si>
  <si>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</si>
  <si>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</si>
  <si>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</si>
  <si>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</si>
  <si>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</si>
  <si>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</si>
  <si>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</si>
  <si>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</si>
  <si>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</si>
  <si>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</si>
  <si>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</si>
  <si>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</si>
  <si>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</si>
  <si>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</si>
  <si>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</si>
  <si>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</si>
  <si>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</si>
  <si>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</si>
  <si>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</si>
  <si>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</si>
  <si>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</si>
  <si>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</si>
  <si>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</si>
  <si>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</si>
  <si>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</si>
  <si>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</si>
  <si>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</si>
  <si>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</si>
  <si>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</si>
  <si>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</si>
  <si>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</si>
  <si>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</si>
  <si>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</si>
  <si>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</si>
  <si>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</si>
  <si>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</si>
  <si>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</si>
  <si>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</si>
  <si>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</si>
  <si>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</si>
  <si>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</si>
  <si>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</si>
  <si>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</si>
  <si>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</si>
  <si>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</si>
  <si>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</si>
  <si>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</si>
  <si>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</si>
  <si>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</si>
  <si>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</si>
  <si>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</si>
  <si>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</si>
  <si>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</si>
  <si>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</si>
  <si>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</si>
  <si>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</si>
  <si>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</si>
  <si>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</si>
  <si>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</si>
  <si>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</si>
  <si>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</si>
  <si>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</si>
  <si>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</si>
  <si>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</si>
  <si>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</si>
  <si>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</si>
  <si>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</si>
  <si>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</si>
  <si>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</si>
  <si>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</si>
  <si>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</si>
  <si>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</si>
  <si>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</si>
  <si>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</si>
  <si>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</si>
  <si>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</si>
  <si>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</si>
  <si>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</si>
  <si>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</si>
  <si>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</si>
  <si>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</si>
  <si>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</si>
  <si>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</si>
  <si>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</si>
  <si>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</si>
  <si>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</si>
  <si>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</si>
  <si>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</si>
  <si>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</si>
  <si>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</si>
  <si>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</si>
  <si>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</si>
  <si>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</si>
  <si>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</si>
  <si>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</si>
  <si>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</si>
  <si>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</si>
  <si>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</si>
  <si>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</si>
  <si>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</si>
  <si>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</si>
  <si>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</si>
  <si>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</si>
  <si>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</si>
  <si>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</si>
  <si>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</si>
  <si>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</si>
  <si>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</si>
  <si>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</si>
  <si>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</si>
  <si>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</si>
  <si>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</si>
  <si>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</si>
  <si>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</si>
  <si>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</si>
  <si>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</si>
  <si>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</si>
  <si>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</si>
  <si>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</si>
  <si>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</si>
  <si>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</si>
  <si>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</si>
  <si>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</si>
  <si>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</si>
  <si>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</si>
  <si>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</si>
  <si>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</si>
  <si>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</si>
  <si>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</si>
  <si>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</si>
  <si>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</si>
  <si>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</si>
  <si>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</si>
  <si>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</si>
  <si>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</si>
  <si>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</si>
  <si>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</si>
  <si>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</si>
  <si>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</si>
  <si>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</si>
  <si>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</si>
  <si>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</si>
  <si>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</si>
  <si>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</si>
  <si>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</si>
  <si>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</si>
  <si>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</si>
  <si>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</si>
  <si>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</si>
  <si>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</si>
  <si>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</si>
  <si>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</si>
  <si>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</si>
  <si>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</si>
  <si>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</si>
  <si>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</si>
  <si>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</si>
  <si>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</si>
  <si>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</si>
  <si>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</si>
  <si>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</si>
  <si>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</si>
  <si>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</si>
  <si>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</si>
  <si>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</si>
  <si>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</si>
  <si>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</si>
  <si>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</si>
  <si>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</si>
  <si>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</si>
  <si>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</si>
  <si>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</si>
  <si>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</si>
  <si>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</si>
  <si>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</si>
  <si>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</si>
  <si>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</si>
  <si>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</si>
  <si>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</si>
  <si>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</si>
  <si>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</si>
  <si>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</si>
  <si>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</si>
  <si>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</si>
  <si>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</si>
  <si>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</si>
  <si>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</si>
  <si>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</si>
  <si>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</si>
  <si>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</si>
  <si>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</si>
  <si>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</si>
  <si>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</si>
  <si>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</si>
  <si>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</si>
  <si>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</si>
  <si>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</si>
  <si>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</si>
  <si>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</si>
  <si>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</si>
  <si>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</si>
  <si>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</si>
  <si>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</si>
  <si>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</si>
  <si>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</si>
  <si>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</si>
  <si>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</si>
  <si>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</si>
  <si>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</si>
  <si>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</si>
  <si>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</si>
  <si>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</si>
  <si>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</si>
  <si>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</si>
  <si>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</si>
  <si>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</si>
  <si>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</si>
  <si>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</si>
  <si>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</si>
  <si>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</si>
  <si>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</si>
  <si>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</si>
  <si>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</si>
  <si>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</si>
  <si>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</si>
  <si>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</si>
  <si>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</si>
  <si>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</si>
  <si>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</si>
  <si>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</si>
  <si>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</si>
  <si>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</si>
  <si>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</si>
  <si>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</si>
  <si>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</si>
  <si>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</si>
  <si>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</si>
  <si>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</si>
  <si>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</si>
  <si>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</si>
  <si>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</si>
  <si>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</si>
  <si>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</si>
  <si>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</si>
  <si>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</si>
  <si>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</si>
  <si>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</si>
  <si>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</si>
  <si>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</si>
  <si>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</si>
  <si>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</si>
  <si>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</si>
  <si>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</si>
  <si>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</si>
  <si>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</si>
  <si>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</si>
  <si>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</si>
  <si>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</si>
  <si>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</si>
  <si>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</si>
  <si>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</si>
  <si>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</si>
  <si>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</si>
  <si>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</si>
  <si>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</si>
  <si>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</si>
  <si>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</si>
  <si>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</si>
  <si>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</si>
  <si>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</si>
  <si>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</si>
  <si>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</si>
  <si>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</si>
  <si>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</si>
  <si>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</si>
  <si>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</si>
  <si>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</si>
  <si>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</si>
  <si>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</si>
  <si>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</si>
  <si>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</si>
  <si>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</si>
  <si>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</si>
  <si>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</si>
  <si>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</si>
  <si>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</si>
  <si>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</si>
  <si>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</si>
  <si>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</si>
  <si>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</si>
  <si>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</si>
  <si>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</si>
  <si>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</si>
  <si>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</si>
  <si>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</si>
  <si>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</si>
  <si>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</si>
  <si>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</si>
  <si>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</si>
  <si>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</si>
  <si>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</si>
  <si>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</si>
  <si>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</si>
  <si>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</si>
  <si>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</si>
  <si>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</si>
  <si>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</si>
  <si>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</si>
  <si>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</si>
  <si>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</si>
  <si>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</si>
  <si>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</si>
  <si>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</si>
  <si>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</si>
  <si>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</si>
  <si>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</si>
  <si>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</si>
  <si>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</si>
  <si>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</si>
  <si>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</si>
  <si>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</si>
  <si>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</si>
  <si>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</si>
  <si>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</si>
  <si>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</si>
  <si>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</si>
  <si>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</si>
  <si>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</si>
  <si>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</si>
  <si>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</si>
  <si>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</si>
  <si>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</si>
  <si>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</si>
  <si>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</si>
  <si>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</si>
  <si>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</si>
  <si>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</si>
  <si>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</si>
  <si>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</si>
  <si>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</si>
  <si>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</si>
  <si>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</si>
  <si>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</si>
  <si>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</si>
  <si>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</si>
  <si>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</si>
  <si>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</si>
  <si>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</si>
  <si>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</si>
  <si>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</si>
  <si>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</si>
  <si>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</si>
  <si>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</si>
  <si>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</si>
  <si>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</si>
  <si>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</si>
  <si>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</si>
  <si>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</si>
  <si>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</si>
  <si>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</si>
  <si>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</si>
  <si>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</si>
  <si>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</si>
  <si>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</si>
  <si>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</si>
  <si>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</si>
  <si>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</si>
  <si>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</si>
  <si>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</si>
  <si>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</si>
  <si>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</si>
  <si>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</si>
  <si>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</si>
  <si>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</si>
  <si>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</si>
  <si>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</si>
  <si>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</si>
  <si>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</si>
  <si>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</si>
  <si>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</si>
  <si>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</si>
  <si>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</si>
  <si>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</si>
  <si>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</si>
  <si>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</si>
  <si>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</si>
  <si>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</si>
  <si>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</si>
  <si>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</si>
  <si>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</si>
  <si>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</si>
  <si>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</si>
  <si>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</si>
  <si>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</si>
  <si>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</si>
  <si>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</si>
  <si>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</si>
  <si>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</si>
  <si>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</si>
  <si>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</si>
  <si>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</si>
  <si>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</si>
  <si>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</si>
  <si>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</si>
  <si>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</si>
  <si>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</si>
  <si>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</si>
  <si>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</si>
  <si>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</si>
  <si>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</si>
  <si>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</si>
  <si>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</si>
  <si>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</si>
  <si>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</si>
  <si>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</si>
  <si>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</si>
  <si>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</si>
  <si>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</si>
  <si>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</si>
  <si>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</si>
  <si>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</si>
  <si>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</si>
  <si>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</si>
  <si>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</si>
  <si>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</si>
  <si>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</si>
  <si>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</si>
  <si>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</si>
  <si>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</si>
  <si>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</si>
  <si>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</si>
  <si>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</si>
  <si>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</si>
  <si>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</si>
  <si>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</si>
  <si>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</si>
  <si>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</si>
  <si>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</si>
  <si>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</si>
  <si>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</si>
  <si>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</si>
  <si>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</si>
  <si>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</si>
  <si>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</si>
  <si>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</si>
  <si>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</si>
  <si>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</si>
  <si>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</si>
  <si>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</si>
  <si>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</si>
  <si>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</si>
  <si>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</si>
  <si>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</si>
  <si>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</si>
  <si>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</si>
  <si>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</si>
  <si>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</si>
  <si>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</si>
  <si>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</si>
  <si>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</si>
  <si>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</si>
  <si>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</si>
  <si>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</si>
  <si>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</si>
  <si>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</si>
  <si>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</si>
  <si>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</si>
  <si>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</si>
  <si>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</si>
  <si>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</si>
  <si>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</si>
  <si>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</si>
  <si>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</si>
  <si>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</si>
  <si>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</si>
  <si>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</si>
  <si>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</si>
  <si>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</si>
  <si>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</si>
  <si>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</si>
  <si>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</si>
  <si>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</si>
  <si>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</si>
  <si>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</si>
  <si>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</si>
  <si>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</si>
  <si>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</si>
  <si>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</si>
  <si>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</si>
  <si>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</si>
  <si>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</si>
  <si>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</si>
  <si>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</si>
  <si>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</si>
  <si>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</si>
  <si>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</si>
  <si>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</si>
  <si>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</si>
  <si>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</si>
  <si>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</si>
  <si>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</si>
  <si>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</si>
  <si>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</si>
  <si>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</si>
  <si>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</si>
  <si>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</si>
  <si>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</si>
  <si>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</si>
  <si>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</si>
  <si>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</si>
  <si>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</si>
  <si>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</si>
  <si>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</si>
  <si>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</si>
  <si>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</si>
  <si>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</si>
  <si>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</si>
  <si>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</si>
  <si>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</si>
  <si>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</si>
  <si>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</si>
  <si>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</si>
  <si>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</si>
  <si>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</si>
  <si>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</si>
  <si>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</si>
  <si>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</si>
  <si>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</si>
  <si>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</si>
  <si>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</si>
  <si>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</si>
  <si>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</si>
  <si>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</si>
  <si>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</si>
  <si>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</si>
  <si>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</si>
  <si>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</si>
  <si>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</si>
  <si>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</si>
  <si>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</si>
  <si>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</si>
  <si>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</si>
  <si>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</si>
  <si>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</si>
  <si>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</si>
  <si>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</si>
  <si>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</si>
  <si>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</si>
  <si>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</si>
  <si>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</si>
  <si>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</si>
  <si>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</si>
  <si>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</si>
  <si>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</si>
  <si>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</si>
  <si>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</si>
  <si>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</si>
  <si>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</si>
  <si>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</si>
  <si>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</si>
  <si>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</si>
  <si>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</si>
  <si>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</si>
  <si>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</si>
  <si>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</si>
  <si>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</si>
  <si>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</si>
  <si>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</si>
  <si>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</si>
  <si>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</si>
  <si>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</si>
  <si>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</si>
  <si>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</si>
  <si>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</si>
  <si>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</si>
  <si>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</si>
  <si>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</si>
  <si>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</si>
  <si>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</si>
  <si>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</si>
  <si>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</si>
  <si>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</si>
  <si>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</si>
  <si>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</si>
  <si>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</si>
  <si>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</si>
  <si>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</si>
  <si>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</si>
  <si>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</si>
  <si>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</si>
  <si>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</si>
  <si>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</si>
  <si>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</si>
  <si>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</si>
  <si>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</si>
  <si>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</si>
  <si>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</si>
  <si>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</si>
  <si>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</si>
  <si>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</si>
  <si>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</si>
  <si>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</si>
  <si>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</si>
  <si>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</si>
  <si>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</si>
  <si>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</si>
  <si>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</si>
  <si>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</si>
  <si>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</si>
  <si>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</si>
  <si>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</si>
  <si>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</si>
  <si>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</si>
  <si>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</si>
  <si>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</si>
  <si>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</si>
  <si>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</si>
  <si>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</si>
  <si>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</si>
  <si>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</si>
  <si>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</si>
  <si>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</si>
  <si>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</si>
  <si>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</si>
  <si>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</si>
  <si>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</si>
  <si>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</si>
  <si>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</si>
  <si>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</si>
  <si>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</si>
  <si>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</si>
  <si>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</si>
  <si>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</si>
  <si>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</si>
  <si>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</si>
  <si>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</si>
  <si>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</si>
  <si>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</si>
  <si>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</si>
  <si>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</si>
  <si>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</si>
  <si>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</si>
  <si>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</si>
  <si>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</si>
  <si>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</si>
  <si>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</si>
  <si>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</si>
  <si>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</si>
  <si>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</si>
  <si>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</si>
  <si>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</si>
  <si>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</si>
  <si>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</si>
  <si>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</si>
  <si>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</si>
  <si>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</si>
  <si>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</si>
  <si>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</si>
  <si>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</si>
  <si>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</si>
  <si>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</si>
  <si>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</si>
  <si>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</si>
  <si>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</si>
  <si>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</si>
  <si>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</si>
  <si>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</si>
  <si>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</si>
  <si>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</si>
  <si>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</si>
  <si>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</si>
  <si>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</si>
  <si>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</si>
  <si>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</si>
  <si>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</si>
  <si>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</si>
  <si>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</si>
  <si>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</si>
  <si>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</si>
  <si>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</si>
  <si>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</si>
  <si>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</si>
  <si>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</si>
  <si>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</si>
  <si>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</si>
  <si>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</si>
  <si>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</si>
  <si>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</si>
  <si>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</si>
  <si>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</si>
  <si>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</si>
  <si>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</si>
  <si>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</si>
  <si>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</si>
  <si>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</si>
  <si>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</si>
  <si>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</si>
  <si>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</si>
  <si>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</si>
  <si>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</si>
  <si>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</si>
  <si>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</si>
  <si>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</si>
  <si>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</si>
  <si>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</si>
  <si>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</si>
  <si>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</si>
  <si>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</si>
  <si>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</si>
  <si>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</si>
  <si>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</si>
  <si>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</si>
  <si>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</si>
  <si>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</si>
  <si>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</si>
  <si>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</si>
  <si>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</si>
  <si>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</si>
  <si>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</si>
  <si>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</si>
  <si>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</si>
  <si>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</si>
  <si>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</si>
  <si>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</si>
  <si>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</si>
  <si>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</si>
  <si>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</si>
  <si>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</si>
  <si>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</si>
  <si>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</si>
  <si>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</si>
  <si>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</si>
  <si>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</si>
  <si>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</si>
  <si>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</si>
  <si>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</si>
  <si>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</si>
  <si>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</si>
  <si>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</si>
  <si>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</si>
  <si>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</si>
  <si>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</si>
  <si>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</si>
  <si>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</si>
  <si>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</si>
  <si>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</si>
  <si>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</si>
  <si>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</si>
  <si>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</si>
  <si>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</si>
  <si>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</si>
  <si>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</si>
  <si>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</si>
  <si>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</si>
  <si>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</si>
  <si>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</si>
  <si>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</si>
  <si>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</si>
  <si>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</si>
  <si>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</si>
  <si>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</si>
  <si>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</si>
  <si>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</si>
  <si>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</si>
  <si>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</si>
  <si>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</si>
  <si>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</si>
  <si>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</si>
  <si>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</si>
  <si>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</si>
  <si>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</si>
  <si>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</si>
  <si>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</si>
  <si>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</si>
  <si>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</si>
  <si>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</si>
  <si>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</si>
  <si>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</si>
  <si>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</si>
  <si>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</si>
  <si>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</si>
  <si>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</si>
  <si>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</si>
  <si>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</si>
  <si>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</si>
  <si>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</si>
  <si>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</si>
  <si>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</si>
  <si>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</si>
  <si>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</si>
  <si>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</si>
  <si>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</si>
  <si>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</si>
  <si>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</si>
  <si>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</si>
  <si>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</si>
  <si>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</si>
  <si>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</si>
  <si>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</si>
  <si>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</si>
  <si>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</si>
  <si>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</si>
  <si>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</si>
  <si>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</si>
  <si>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</si>
  <si>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</si>
  <si>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</si>
  <si>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</si>
  <si>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</si>
  <si>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</si>
  <si>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</si>
  <si>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</si>
  <si>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</si>
  <si>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</si>
  <si>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</si>
  <si>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</si>
  <si>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</si>
  <si>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</si>
  <si>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</si>
  <si>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</si>
  <si>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</si>
  <si>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</si>
  <si>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</si>
  <si>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</si>
  <si>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</si>
  <si>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</si>
  <si>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</si>
  <si>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</si>
  <si>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</si>
  <si>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</si>
  <si>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</si>
  <si>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</si>
  <si>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</si>
  <si>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</si>
  <si>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</si>
  <si>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</si>
  <si>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</si>
  <si>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</si>
  <si>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</si>
  <si>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</si>
  <si>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</si>
  <si>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</si>
  <si>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</si>
  <si>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</si>
  <si>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</si>
  <si>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</si>
  <si>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</si>
  <si>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</si>
  <si>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</si>
  <si>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</si>
  <si>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</si>
  <si>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</si>
  <si>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</si>
  <si>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</si>
  <si>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</si>
  <si>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</si>
  <si>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</si>
  <si>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</si>
  <si>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</si>
  <si>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</si>
  <si>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</si>
  <si>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</si>
  <si>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</si>
  <si>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</si>
  <si>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</si>
  <si>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</si>
  <si>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</si>
  <si>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</si>
  <si>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</si>
  <si>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</si>
  <si>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</si>
  <si>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</si>
  <si>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</si>
  <si>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</si>
  <si>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</si>
  <si>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</si>
  <si>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</si>
  <si>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</si>
  <si>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</si>
  <si>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</si>
  <si>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</si>
  <si>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</si>
  <si>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</si>
  <si>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</si>
  <si>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</si>
  <si>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</si>
  <si>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</si>
  <si>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</si>
  <si>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</si>
  <si>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</si>
  <si>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</si>
  <si>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</si>
  <si>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</si>
  <si>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</si>
  <si>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</si>
  <si>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</si>
  <si>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</si>
  <si>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</si>
  <si>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</si>
  <si>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</si>
  <si>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</si>
  <si>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</si>
  <si>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</si>
  <si>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</si>
  <si>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</si>
  <si>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</si>
  <si>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</si>
  <si>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</si>
  <si>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</si>
  <si>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</si>
  <si>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</si>
  <si>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</si>
  <si>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</si>
  <si>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</si>
  <si>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</si>
  <si>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</si>
  <si>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</si>
  <si>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</si>
  <si>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</si>
  <si>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</si>
  <si>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</si>
  <si>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</si>
  <si>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</si>
  <si>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</si>
  <si>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</si>
  <si>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</si>
  <si>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</si>
  <si>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</si>
  <si>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</si>
  <si>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</si>
  <si>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</si>
  <si>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</si>
  <si>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</si>
  <si>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</si>
  <si>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</si>
  <si>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</si>
  <si>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</si>
  <si>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</si>
  <si>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</si>
  <si>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</si>
  <si>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</si>
  <si>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</si>
  <si>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</si>
  <si>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</si>
  <si>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</si>
  <si>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</si>
  <si>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</si>
  <si>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</si>
  <si>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</si>
  <si>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</si>
  <si>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</si>
  <si>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</si>
  <si>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</si>
  <si>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</si>
  <si>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</si>
  <si>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</si>
  <si>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</si>
  <si>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</si>
  <si>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</si>
  <si>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</si>
  <si>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</si>
  <si>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</si>
  <si>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</si>
  <si>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</si>
  <si>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</si>
  <si>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</si>
  <si>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</si>
  <si>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</si>
  <si>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</si>
  <si>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</si>
  <si>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</si>
  <si>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</si>
  <si>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</si>
  <si>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</si>
  <si>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</si>
  <si>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</si>
  <si>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</si>
  <si>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</si>
  <si>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</si>
  <si>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</si>
  <si>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</si>
  <si>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</si>
  <si>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</si>
  <si>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</si>
  <si>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</si>
  <si>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</si>
  <si>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</si>
  <si>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</si>
  <si>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</si>
  <si>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</si>
  <si>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</si>
  <si>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</si>
  <si>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</si>
  <si>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</si>
  <si>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</si>
  <si>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</si>
  <si>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</si>
  <si>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</si>
  <si>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</si>
  <si>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</si>
  <si>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</si>
  <si>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</si>
  <si>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</si>
  <si>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</si>
  <si>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</si>
  <si>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</si>
  <si>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</si>
  <si>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</si>
  <si>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</si>
  <si>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</si>
  <si>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</si>
  <si>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</si>
  <si>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</si>
  <si>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</si>
  <si>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</si>
  <si>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</si>
  <si>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</si>
  <si>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</si>
  <si>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</si>
  <si>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</si>
  <si>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</si>
  <si>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</si>
  <si>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</si>
  <si>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</si>
  <si>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</si>
  <si>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</si>
  <si>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</si>
  <si>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</si>
  <si>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</si>
  <si>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</si>
  <si>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</si>
  <si>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</si>
  <si>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</si>
  <si>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</si>
  <si>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</si>
  <si>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</si>
  <si>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</si>
  <si>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</si>
  <si>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</si>
  <si>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</si>
  <si>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</si>
  <si>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</si>
  <si>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</si>
  <si>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</si>
  <si>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</si>
  <si>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</si>
  <si>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</si>
  <si>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</si>
  <si>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</si>
  <si>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</si>
  <si>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</si>
  <si>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</si>
  <si>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</si>
  <si>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</si>
  <si>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</si>
  <si>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</si>
  <si>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</si>
  <si>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</si>
  <si>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</si>
  <si>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</si>
  <si>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</si>
  <si>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</si>
  <si>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</si>
  <si>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</si>
  <si>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</si>
  <si>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</si>
  <si>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</si>
  <si>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</si>
  <si>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</si>
  <si>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</si>
  <si>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</si>
  <si>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</si>
  <si>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</si>
  <si>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</si>
  <si>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</si>
  <si>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</si>
  <si>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</si>
  <si>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</si>
  <si>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</si>
  <si>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</si>
  <si>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</si>
  <si>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</si>
  <si>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</si>
  <si>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</si>
  <si>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</si>
  <si>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</si>
  <si>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</si>
  <si>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</si>
  <si>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</si>
  <si>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</si>
  <si>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</si>
  <si>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</si>
  <si>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</si>
  <si>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</si>
  <si>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</si>
  <si>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</si>
  <si>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</si>
  <si>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</si>
  <si>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</si>
  <si>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</si>
  <si>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</si>
  <si>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</si>
  <si>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</si>
  <si>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</si>
  <si>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</si>
  <si>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</si>
  <si>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</si>
  <si>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</si>
  <si>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</si>
  <si>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</si>
  <si>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</si>
  <si>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</si>
  <si>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</si>
  <si>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</si>
  <si>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</si>
  <si>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</si>
  <si>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</si>
  <si>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</si>
  <si>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</si>
  <si>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</si>
  <si>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</si>
  <si>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</si>
  <si>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</si>
  <si>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</si>
  <si>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</si>
  <si>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</si>
  <si>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</si>
  <si>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</si>
  <si>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</si>
  <si>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</si>
  <si>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</si>
  <si>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</si>
  <si>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</si>
  <si>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</si>
  <si>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</si>
  <si>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</si>
  <si>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</si>
  <si>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</si>
  <si>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</si>
  <si>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</si>
  <si>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</si>
  <si>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</si>
  <si>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</si>
  <si>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</si>
  <si>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</si>
  <si>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</si>
  <si>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</si>
  <si>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</si>
  <si>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</si>
  <si>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</si>
  <si>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</si>
  <si>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</si>
  <si>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</si>
  <si>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</si>
  <si>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</si>
  <si>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</si>
  <si>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</si>
  <si>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</si>
  <si>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</si>
  <si>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</si>
  <si>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</si>
  <si>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</si>
  <si>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</si>
  <si>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</si>
  <si>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</si>
  <si>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</si>
  <si>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</si>
  <si>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</si>
  <si>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</si>
  <si>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</si>
  <si>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</si>
  <si>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</si>
  <si>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</si>
  <si>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</si>
  <si>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</si>
  <si>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</si>
  <si>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</si>
  <si>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</si>
  <si>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</si>
  <si>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</si>
  <si>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</si>
  <si>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</si>
  <si>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</si>
  <si>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</si>
  <si>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</si>
  <si>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</si>
  <si>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</si>
  <si>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</si>
  <si>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</si>
  <si>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</si>
  <si>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</si>
  <si>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</si>
  <si>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</si>
  <si>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</si>
  <si>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</si>
  <si>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</si>
  <si>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</si>
  <si>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</si>
  <si>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</si>
  <si>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</si>
  <si>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</si>
  <si>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</si>
  <si>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</si>
  <si>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</si>
  <si>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</si>
  <si>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</si>
  <si>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</si>
  <si>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</si>
  <si>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</si>
  <si>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</si>
  <si>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</si>
  <si>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</si>
  <si>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</si>
  <si>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</si>
  <si>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</si>
  <si>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</si>
  <si>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</si>
  <si>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</si>
  <si>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</si>
  <si>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</si>
  <si>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</si>
  <si>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</si>
  <si>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</si>
  <si>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</si>
  <si>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</si>
  <si>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</si>
  <si>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</si>
  <si>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</si>
  <si>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</si>
  <si>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</si>
  <si>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</si>
  <si>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</si>
  <si>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</si>
  <si>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</si>
  <si>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</si>
  <si>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</si>
  <si>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</si>
  <si>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</si>
  <si>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</si>
  <si>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</si>
  <si>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</si>
  <si>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</si>
  <si>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</si>
  <si>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</si>
  <si>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</si>
  <si>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</si>
  <si>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</si>
  <si>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</si>
  <si>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</si>
  <si>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</si>
  <si>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</si>
  <si>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</si>
  <si>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</si>
  <si>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</si>
  <si>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</si>
  <si>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</si>
  <si>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</si>
  <si>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</si>
  <si>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</si>
  <si>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</si>
  <si>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</si>
  <si>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</si>
  <si>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</si>
  <si>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</si>
  <si>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</si>
  <si>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</si>
  <si>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</si>
  <si>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</si>
  <si>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</si>
  <si>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</si>
  <si>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</si>
  <si>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</si>
  <si>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</si>
  <si>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</si>
  <si>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</si>
  <si>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</si>
  <si>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</si>
  <si>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</si>
  <si>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</si>
  <si>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</si>
  <si>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</si>
  <si>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</si>
  <si>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</si>
  <si>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</si>
  <si>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</si>
  <si>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</si>
  <si>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</si>
  <si>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</si>
  <si>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</si>
  <si>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</si>
  <si>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</si>
  <si>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</si>
  <si>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</si>
  <si>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</si>
  <si>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</si>
  <si>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</si>
  <si>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</si>
  <si>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</si>
  <si>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</si>
  <si>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</si>
  <si>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</si>
  <si>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</si>
  <si>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</si>
  <si>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</si>
  <si>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</si>
  <si>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</si>
  <si>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</si>
  <si>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</si>
  <si>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</si>
  <si>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</si>
  <si>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</si>
  <si>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</si>
  <si>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</si>
  <si>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</si>
  <si>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</si>
  <si>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</si>
  <si>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</si>
  <si>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</si>
  <si>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</si>
  <si>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</si>
  <si>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</si>
  <si>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</si>
  <si>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</si>
  <si>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</si>
  <si>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</si>
  <si>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</si>
  <si>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</si>
  <si>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</si>
  <si>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</si>
  <si>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</si>
  <si>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</si>
  <si>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</si>
  <si>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</si>
  <si>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</si>
  <si>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</si>
  <si>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</si>
  <si>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</si>
  <si>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</si>
  <si>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</si>
  <si>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</si>
  <si>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</si>
  <si>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</si>
  <si>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</si>
  <si>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</si>
  <si>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</si>
  <si>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</si>
  <si>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</si>
  <si>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</si>
  <si>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</si>
  <si>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</si>
  <si>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</si>
  <si>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</si>
  <si>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</si>
  <si>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</si>
  <si>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</si>
  <si>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</si>
  <si>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</si>
  <si>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</si>
  <si>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</si>
  <si>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</si>
  <si>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</si>
  <si>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</si>
  <si>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</si>
  <si>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</si>
  <si>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</si>
  <si>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</si>
  <si>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</si>
  <si>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</si>
  <si>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</si>
  <si>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</si>
  <si>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</si>
  <si>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</si>
  <si>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</si>
  <si>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</si>
  <si>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</si>
  <si>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</si>
  <si>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</si>
  <si>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</si>
  <si>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</si>
  <si>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</si>
  <si>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</si>
  <si>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</si>
  <si>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</si>
  <si>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</si>
  <si>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</si>
  <si>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</si>
  <si>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</si>
  <si>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</si>
  <si>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</si>
  <si>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</si>
  <si>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</si>
  <si>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</si>
  <si>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</si>
  <si>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</si>
  <si>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</si>
  <si>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</si>
  <si>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</si>
  <si>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</si>
  <si>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</si>
  <si>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</si>
  <si>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</si>
  <si>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</si>
  <si>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</si>
  <si>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</si>
  <si>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</si>
  <si>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</si>
  <si>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</si>
  <si>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</si>
  <si>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</si>
  <si>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</si>
  <si>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</si>
  <si>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</si>
  <si>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</si>
  <si>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</si>
  <si>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</si>
  <si>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</si>
  <si>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</si>
  <si>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</si>
  <si>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</si>
  <si>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</si>
  <si>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</si>
  <si>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</si>
  <si>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</si>
  <si>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</si>
  <si>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</si>
  <si>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</si>
  <si>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</si>
  <si>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</si>
  <si>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</si>
  <si>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</si>
  <si>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</si>
  <si>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</si>
  <si>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</si>
  <si>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</si>
  <si>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</si>
  <si>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</si>
  <si>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</si>
  <si>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</si>
  <si>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</si>
  <si>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</si>
  <si>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</si>
  <si>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</si>
  <si>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</si>
  <si>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</si>
  <si>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</si>
  <si>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</si>
  <si>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</si>
  <si>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</si>
  <si>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</si>
  <si>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</si>
  <si>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</si>
  <si>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</si>
  <si>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</si>
  <si>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</si>
  <si>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</si>
  <si>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</si>
  <si>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</si>
  <si>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</si>
  <si>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</si>
  <si>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</si>
  <si>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</si>
  <si>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</si>
  <si>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</si>
  <si>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</si>
  <si>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</si>
  <si>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</si>
  <si>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</si>
  <si>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</si>
  <si>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</si>
  <si>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</si>
  <si>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</si>
  <si>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</si>
  <si>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</si>
  <si>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</si>
  <si>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</si>
  <si>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</si>
  <si>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</si>
  <si>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</si>
  <si>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</si>
  <si>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</si>
  <si>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</si>
  <si>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</si>
  <si>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</si>
  <si>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</si>
  <si>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</si>
  <si>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</si>
  <si>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</si>
  <si>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</si>
  <si>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</si>
  <si>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</si>
  <si>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</si>
  <si>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</si>
  <si>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</si>
  <si>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</si>
  <si>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</si>
  <si>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</si>
  <si>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</si>
  <si>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</si>
  <si>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</si>
  <si>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</si>
  <si>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</si>
  <si>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</si>
  <si>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</si>
  <si>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</si>
  <si>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</si>
  <si>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</si>
  <si>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</si>
  <si>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</si>
  <si>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</si>
  <si>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</si>
  <si>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</si>
  <si>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</si>
  <si>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</si>
  <si>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</si>
  <si>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</si>
  <si>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</si>
  <si>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</si>
  <si>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</si>
  <si>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</si>
  <si>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</si>
  <si>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</si>
  <si>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</si>
  <si>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</si>
  <si>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</si>
  <si>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</si>
  <si>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</si>
  <si>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</si>
  <si>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</si>
  <si>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</si>
  <si>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</si>
  <si>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</si>
  <si>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</si>
  <si>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</si>
  <si>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</si>
  <si>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</si>
  <si>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</si>
  <si>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</si>
  <si>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</si>
  <si>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</si>
  <si>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</si>
  <si>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</si>
  <si>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</si>
  <si>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</si>
  <si>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</si>
  <si>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</si>
  <si>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</si>
  <si>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</si>
  <si>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</si>
  <si>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</si>
  <si>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</si>
  <si>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</si>
  <si>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</si>
  <si>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</si>
  <si>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</si>
  <si>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</si>
  <si>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</si>
  <si>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</si>
  <si>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</si>
  <si>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</si>
  <si>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</si>
  <si>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</si>
  <si>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</si>
  <si>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</si>
  <si>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</si>
  <si>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</si>
  <si>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</si>
  <si>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</si>
  <si>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</si>
  <si>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</si>
  <si>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</si>
  <si>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</si>
  <si>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</si>
  <si>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</si>
  <si>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</si>
  <si>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</si>
  <si>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</si>
  <si>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</si>
  <si>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</si>
  <si>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</si>
  <si>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</si>
  <si>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</si>
  <si>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</si>
  <si>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</si>
  <si>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</si>
  <si>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</si>
  <si>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</si>
  <si>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</si>
  <si>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</si>
  <si>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</si>
  <si>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</si>
  <si>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</si>
  <si>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</si>
  <si>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</si>
  <si>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</si>
  <si>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</si>
  <si>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</si>
  <si>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</si>
  <si>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</si>
  <si>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</si>
  <si>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</si>
  <si>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</si>
  <si>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</si>
  <si>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</si>
  <si>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</si>
  <si>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</si>
  <si>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</si>
  <si>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</si>
  <si>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</si>
  <si>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</si>
  <si>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</si>
  <si>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</si>
  <si>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</si>
  <si>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</si>
  <si>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</si>
  <si>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</si>
  <si>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</si>
  <si>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</si>
  <si>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</si>
  <si>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</si>
  <si>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</si>
  <si>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</si>
  <si>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</si>
  <si>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</si>
  <si>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</si>
  <si>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</si>
  <si>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</si>
  <si>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</si>
  <si>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</si>
  <si>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</si>
  <si>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</si>
  <si>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</si>
  <si>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</si>
  <si>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</si>
  <si>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</si>
  <si>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</si>
  <si>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</si>
  <si>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</si>
  <si>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</si>
  <si>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</si>
  <si>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</si>
  <si>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</si>
  <si>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</si>
  <si>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</si>
  <si>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</si>
  <si>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</si>
  <si>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</si>
  <si>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</si>
  <si>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</si>
  <si>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</si>
  <si>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</si>
  <si>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</si>
  <si>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</si>
  <si>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</si>
  <si>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</si>
  <si>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</si>
  <si>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</si>
  <si>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</si>
  <si>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</si>
  <si>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</si>
  <si>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</si>
  <si>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</si>
  <si>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</si>
  <si>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</si>
  <si>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</si>
  <si>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</si>
  <si>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</si>
  <si>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</si>
  <si>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</si>
  <si>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</si>
  <si>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</si>
  <si>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</si>
  <si>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</si>
  <si>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</si>
  <si>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</si>
  <si>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</si>
  <si>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</si>
  <si>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</si>
  <si>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</si>
  <si>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</si>
  <si>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</si>
  <si>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</si>
  <si>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</si>
  <si>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</si>
  <si>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</si>
  <si>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</si>
  <si>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</si>
  <si>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</si>
  <si>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</si>
  <si>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</si>
  <si>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</si>
  <si>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</si>
  <si>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</si>
  <si>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</si>
  <si>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</si>
  <si>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</si>
  <si>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</si>
  <si>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</si>
  <si>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</si>
  <si>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</si>
  <si>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</si>
  <si>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</si>
  <si>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</si>
  <si>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</si>
  <si>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</si>
  <si>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</si>
  <si>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</si>
  <si>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</si>
  <si>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</si>
  <si>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</si>
  <si>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</si>
  <si>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</si>
  <si>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</si>
  <si>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</si>
  <si>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</si>
  <si>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</si>
  <si>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</si>
  <si>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</si>
  <si>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</si>
  <si>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</si>
  <si>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</si>
  <si>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</si>
  <si>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</si>
  <si>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</si>
  <si>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</si>
  <si>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</si>
  <si>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</si>
  <si>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</si>
  <si>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</si>
  <si>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</si>
  <si>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</si>
  <si>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</si>
  <si>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</si>
  <si>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</si>
  <si>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</si>
  <si>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</si>
  <si>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</si>
  <si>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</si>
  <si>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</si>
  <si>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</si>
  <si>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</si>
  <si>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</si>
  <si>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</si>
  <si>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</si>
  <si>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</si>
  <si>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</si>
  <si>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</si>
  <si>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</si>
  <si>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</si>
  <si>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</si>
  <si>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</si>
  <si>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</si>
  <si>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</si>
  <si>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</si>
  <si>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</si>
  <si>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</si>
  <si>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</si>
  <si>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</si>
  <si>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</si>
  <si>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</si>
  <si>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</si>
  <si>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</si>
  <si>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</si>
  <si>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</si>
  <si>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</si>
  <si>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</si>
  <si>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</si>
  <si>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</si>
  <si>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</si>
  <si>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</si>
  <si>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</si>
  <si>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</si>
  <si>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</si>
  <si>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</si>
  <si>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</si>
  <si>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</si>
  <si>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</si>
  <si>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</si>
  <si>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</si>
  <si>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</si>
  <si>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</si>
  <si>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</si>
  <si>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</si>
  <si>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</si>
  <si>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</si>
  <si>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</si>
  <si>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</si>
  <si>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</si>
  <si>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</si>
  <si>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</si>
  <si>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</si>
  <si>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</si>
  <si>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</si>
  <si>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</si>
  <si>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</si>
  <si>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</si>
  <si>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</si>
  <si>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</si>
  <si>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</si>
  <si>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</si>
  <si>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</si>
  <si>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</si>
  <si>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</si>
  <si>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</si>
  <si>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</si>
  <si>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</si>
  <si>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</si>
  <si>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</si>
  <si>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</si>
  <si>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</si>
  <si>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</si>
  <si>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</si>
  <si>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</si>
  <si>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</si>
  <si>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</si>
  <si>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</si>
  <si>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</si>
  <si>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</si>
  <si>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</si>
  <si>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</si>
  <si>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</si>
  <si>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</si>
  <si>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</si>
  <si>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</si>
  <si>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</si>
  <si>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</si>
  <si>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</si>
  <si>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</si>
  <si>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</si>
  <si>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</si>
  <si>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</si>
  <si>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</si>
  <si>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</si>
  <si>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</si>
  <si>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</si>
  <si>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</si>
  <si>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</si>
  <si>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</si>
  <si>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</si>
  <si>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</si>
  <si>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</si>
  <si>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</si>
  <si>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</si>
  <si>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</si>
  <si>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</si>
  <si>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</si>
  <si>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</si>
  <si>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</si>
  <si>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</si>
  <si>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</si>
  <si>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</si>
  <si>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</si>
  <si>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</si>
  <si>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</si>
  <si>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</si>
  <si>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</si>
  <si>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</si>
  <si>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</si>
  <si>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</si>
  <si>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</si>
  <si>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</si>
  <si>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</si>
  <si>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</si>
  <si>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</si>
  <si>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</si>
  <si>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</si>
  <si>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</si>
  <si>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</si>
  <si>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</si>
  <si>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</si>
  <si>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</si>
  <si>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</si>
  <si>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</si>
  <si>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</si>
  <si>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</si>
  <si>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</si>
  <si>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</si>
  <si>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</si>
  <si>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</si>
  <si>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</si>
  <si>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</si>
  <si>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</si>
  <si>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</si>
  <si>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</si>
  <si>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</si>
  <si>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</si>
  <si>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</si>
  <si>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</si>
  <si>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</si>
  <si>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</si>
  <si>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</si>
  <si>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</si>
  <si>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</si>
  <si>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</si>
  <si>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</si>
  <si>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</si>
  <si>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</si>
  <si>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</si>
  <si>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</si>
  <si>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</si>
  <si>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</si>
  <si>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</si>
  <si>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</si>
  <si>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</si>
  <si>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</si>
  <si>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</si>
  <si>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</si>
  <si>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</si>
  <si>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</si>
  <si>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</si>
  <si>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</si>
  <si>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</si>
  <si>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</si>
  <si>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</si>
  <si>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</si>
  <si>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</si>
  <si>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</si>
  <si>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</si>
  <si>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</si>
  <si>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</si>
  <si>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</si>
  <si>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</si>
  <si>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</si>
  <si>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</si>
  <si>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</si>
  <si>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</si>
  <si>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</si>
  <si>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</si>
  <si>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</si>
  <si>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</si>
  <si>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</si>
  <si>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</si>
  <si>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</si>
  <si>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</si>
  <si>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</si>
  <si>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</si>
  <si>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</si>
  <si>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</si>
  <si>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</si>
  <si>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</si>
  <si>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</si>
  <si>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</si>
  <si>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</si>
  <si>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</si>
  <si>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</si>
  <si>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</si>
  <si>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</si>
  <si>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</si>
  <si>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</si>
  <si>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</si>
  <si>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</si>
  <si>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</si>
  <si>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</si>
  <si>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</si>
  <si>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</si>
  <si>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</si>
  <si>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</si>
  <si>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</si>
  <si>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</si>
  <si>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</si>
  <si>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</si>
  <si>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</si>
  <si>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</si>
  <si>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</si>
  <si>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</si>
  <si>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</si>
  <si>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</si>
  <si>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</si>
  <si>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</si>
  <si>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</si>
  <si>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</si>
  <si>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</si>
  <si>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</si>
  <si>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</si>
  <si>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</si>
  <si>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</si>
  <si>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</si>
  <si>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</si>
  <si>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</si>
  <si>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</si>
  <si>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</si>
  <si>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</si>
  <si>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</si>
  <si>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</si>
  <si>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</si>
  <si>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</si>
  <si>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</si>
  <si>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</si>
  <si>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</si>
  <si>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</si>
  <si>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</si>
  <si>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</si>
  <si>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</si>
  <si>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</si>
  <si>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</si>
  <si>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</si>
  <si>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</si>
  <si>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</si>
  <si>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</si>
  <si>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</si>
  <si>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</si>
  <si>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</si>
  <si>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</si>
  <si>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</si>
  <si>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</si>
  <si>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</si>
  <si>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</si>
  <si>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</si>
  <si>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</si>
  <si>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</si>
  <si>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</si>
  <si>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</si>
  <si>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</si>
  <si>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</si>
  <si>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</si>
  <si>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</si>
  <si>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</si>
  <si>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</si>
  <si>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</si>
  <si>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</si>
  <si>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</si>
  <si>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</si>
  <si>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</si>
  <si>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</si>
  <si>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</si>
  <si>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</si>
  <si>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</si>
  <si>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</si>
  <si>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</si>
  <si>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</si>
  <si>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</si>
  <si>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</si>
  <si>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</si>
  <si>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</si>
  <si>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</si>
  <si>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</si>
  <si>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</si>
  <si>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</si>
  <si>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</si>
  <si>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</si>
  <si>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</si>
  <si>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</si>
  <si>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</si>
  <si>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</si>
  <si>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</si>
  <si>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</si>
  <si>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</si>
  <si>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</si>
  <si>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</si>
  <si>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</si>
  <si>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</si>
  <si>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</si>
  <si>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</si>
  <si>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</si>
  <si>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</si>
  <si>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</si>
  <si>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</si>
  <si>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</si>
  <si>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</si>
  <si>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</si>
  <si>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</si>
  <si>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</si>
  <si>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</si>
  <si>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</si>
  <si>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</si>
  <si>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</si>
  <si>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</si>
  <si>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</si>
  <si>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</si>
  <si>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</si>
  <si>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</si>
  <si>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</si>
  <si>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</si>
  <si>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</si>
  <si>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</si>
  <si>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</si>
  <si>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</si>
  <si>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</si>
  <si>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</si>
  <si>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</si>
  <si>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</si>
  <si>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</si>
  <si>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</si>
  <si>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</si>
  <si>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</si>
  <si>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</si>
  <si>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</si>
  <si>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</si>
  <si>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</si>
  <si>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</si>
  <si>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</si>
  <si>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</si>
  <si>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</si>
  <si>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</si>
  <si>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</si>
  <si>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</si>
  <si>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</si>
  <si>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</si>
  <si>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</si>
  <si>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</si>
  <si>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</si>
  <si>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</si>
  <si>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</si>
  <si>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</si>
  <si>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</si>
  <si>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</si>
  <si>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</si>
  <si>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</si>
  <si>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</si>
  <si>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</si>
  <si>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</si>
  <si>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</si>
  <si>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</si>
  <si>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</si>
  <si>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</si>
  <si>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</si>
  <si>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</si>
  <si>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</si>
  <si>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</si>
  <si>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</si>
  <si>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</si>
  <si>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</si>
  <si>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</si>
  <si>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</si>
  <si>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</si>
  <si>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</si>
  <si>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</si>
  <si>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</si>
  <si>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</si>
  <si>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</si>
  <si>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</si>
  <si>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</si>
  <si>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</si>
  <si>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</si>
  <si>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</si>
  <si>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</si>
  <si>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</si>
  <si>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</si>
  <si>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</si>
  <si>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</si>
  <si>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</si>
  <si>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</si>
  <si>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</si>
  <si>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</si>
  <si>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</si>
  <si>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</si>
  <si>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</si>
  <si>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</si>
  <si>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</si>
  <si>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</si>
  <si>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</si>
  <si>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</si>
  <si>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</si>
  <si>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</si>
  <si>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</si>
  <si>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</si>
  <si>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</si>
  <si>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</si>
  <si>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</si>
  <si>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</si>
  <si>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</si>
  <si>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</si>
  <si>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</si>
  <si>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</si>
  <si>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</si>
  <si>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</si>
  <si>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</si>
  <si>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</si>
  <si>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</si>
  <si>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</si>
  <si>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</si>
  <si>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</si>
  <si>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</si>
  <si>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</si>
  <si>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</si>
  <si>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</si>
  <si>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</si>
  <si>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</si>
  <si>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</si>
  <si>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</si>
  <si>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</si>
  <si>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</si>
  <si>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</si>
  <si>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</si>
  <si>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</si>
  <si>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</si>
  <si>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</si>
  <si>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</si>
  <si>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</si>
  <si>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</si>
  <si>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</si>
  <si>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</si>
  <si>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</si>
  <si>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</si>
  <si>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</si>
  <si>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</si>
  <si>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</si>
  <si>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</si>
  <si>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</si>
  <si>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</si>
  <si>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</si>
  <si>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</si>
  <si>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</si>
  <si>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</si>
  <si>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</si>
  <si>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</si>
  <si>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</si>
  <si>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</si>
  <si>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</si>
  <si>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</si>
  <si>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</si>
  <si>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</si>
  <si>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</si>
  <si>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</si>
  <si>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</si>
  <si>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</si>
  <si>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</si>
  <si>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</si>
  <si>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</si>
  <si>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</si>
  <si>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</si>
  <si>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</si>
  <si>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</si>
  <si>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</si>
  <si>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</si>
  <si>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</si>
  <si>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</si>
  <si>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</si>
  <si>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</si>
  <si>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</si>
  <si>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</si>
  <si>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</si>
  <si>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</si>
  <si>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</si>
  <si>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</si>
  <si>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</si>
  <si>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</si>
  <si>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</si>
  <si>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</si>
  <si>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</si>
  <si>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</si>
  <si>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</si>
  <si>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</si>
  <si>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</si>
  <si>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</si>
  <si>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</si>
  <si>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</si>
  <si>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</si>
  <si>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</si>
  <si>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</si>
  <si>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</si>
  <si>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</si>
  <si>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</si>
  <si>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</si>
  <si>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</si>
  <si>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</si>
  <si>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</si>
  <si>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</si>
  <si>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</si>
  <si>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</si>
  <si>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</si>
  <si>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</si>
  <si>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</si>
  <si>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</si>
  <si>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</si>
  <si>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</si>
  <si>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</si>
  <si>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</si>
  <si>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</si>
  <si>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</si>
  <si>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</si>
  <si>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</si>
  <si>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</si>
  <si>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</si>
  <si>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</si>
  <si>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</si>
  <si>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</si>
  <si>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</si>
  <si>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</si>
  <si>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</si>
  <si>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</si>
  <si>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</si>
  <si>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</si>
  <si>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</si>
  <si>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</si>
  <si>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</si>
  <si>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</si>
  <si>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</si>
  <si>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</si>
  <si>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</si>
  <si>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</si>
  <si>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</si>
  <si>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</si>
  <si>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</si>
  <si>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</si>
  <si>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</si>
  <si>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</si>
  <si>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</si>
  <si>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</si>
  <si>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</si>
  <si>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</si>
  <si>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</si>
  <si>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</si>
  <si>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</si>
  <si>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</si>
  <si>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</si>
  <si>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</si>
  <si>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</si>
  <si>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</si>
  <si>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</si>
  <si>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</si>
  <si>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</si>
  <si>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</si>
  <si>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</si>
  <si>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</si>
  <si>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</si>
  <si>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</si>
  <si>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</si>
  <si>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</si>
  <si>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</si>
  <si>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</si>
  <si>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</si>
  <si>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</si>
  <si>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</si>
  <si>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</si>
  <si>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</si>
  <si>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</si>
  <si>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</si>
  <si>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</si>
  <si>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</si>
  <si>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</si>
  <si>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</si>
  <si>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</si>
  <si>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</si>
  <si>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</si>
  <si>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</si>
  <si>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</si>
  <si>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</si>
  <si>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</si>
  <si>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</si>
  <si>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</si>
  <si>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</si>
  <si>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</si>
  <si>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</si>
  <si>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</si>
  <si>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</si>
  <si>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</si>
  <si>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</si>
  <si>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</si>
  <si>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</si>
  <si>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</si>
  <si>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</si>
  <si>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</si>
  <si>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</si>
  <si>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</si>
  <si>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</si>
  <si>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</si>
  <si>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</si>
  <si>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</si>
  <si>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</si>
  <si>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</si>
  <si>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</si>
  <si>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</si>
  <si>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</si>
  <si>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</si>
  <si>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</si>
  <si>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</si>
  <si>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</si>
  <si>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</si>
  <si>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</si>
  <si>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</si>
  <si>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</si>
  <si>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</si>
  <si>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</si>
  <si>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</si>
  <si>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</si>
  <si>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</si>
  <si>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</si>
  <si>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</si>
  <si>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</si>
  <si>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</si>
  <si>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</si>
  <si>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</si>
  <si>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</si>
  <si>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</si>
  <si>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</si>
  <si>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</si>
  <si>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</si>
  <si>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</si>
  <si>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</si>
  <si>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</si>
  <si>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</si>
  <si>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</si>
  <si>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</si>
  <si>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</si>
  <si>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</si>
  <si>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</si>
  <si>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</si>
  <si>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</si>
  <si>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</si>
  <si>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</si>
  <si>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</si>
  <si>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</si>
  <si>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</si>
  <si>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</si>
  <si>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</si>
  <si>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</si>
  <si>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</si>
  <si>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</si>
  <si>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</si>
  <si>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</si>
  <si>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</si>
  <si>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</si>
  <si>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</si>
  <si>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</si>
  <si>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</si>
  <si>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</si>
  <si>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</si>
  <si>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</si>
  <si>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</si>
  <si>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</si>
  <si>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</si>
  <si>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</si>
  <si>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</si>
  <si>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</si>
  <si>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</si>
  <si>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</si>
  <si>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</si>
  <si>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</si>
  <si>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</si>
  <si>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</si>
  <si>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</si>
  <si>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</si>
  <si>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</si>
  <si>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</si>
  <si>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</si>
  <si>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</si>
  <si>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</si>
  <si>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</si>
  <si>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</si>
  <si>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</si>
  <si>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</si>
  <si>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</si>
  <si>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</si>
  <si>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</si>
  <si>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</si>
  <si>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</si>
  <si>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</si>
  <si>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</si>
  <si>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</si>
  <si>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</si>
  <si>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</si>
  <si>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</si>
  <si>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</si>
  <si>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</si>
  <si>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</si>
  <si>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</si>
  <si>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</si>
  <si>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</si>
  <si>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</si>
  <si>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</si>
  <si>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</si>
  <si>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</si>
  <si>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</si>
  <si>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</si>
  <si>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</si>
  <si>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</si>
  <si>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</si>
  <si>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</si>
  <si>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</si>
  <si>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</si>
  <si>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</si>
  <si>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</si>
  <si>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</si>
  <si>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</si>
  <si>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</si>
  <si>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</si>
  <si>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</si>
  <si>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</si>
  <si>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</si>
  <si>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</si>
  <si>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</si>
  <si>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</si>
  <si>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</si>
  <si>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</si>
  <si>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</si>
  <si>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</si>
  <si>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</si>
  <si>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</si>
  <si>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</si>
  <si>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</si>
  <si>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</si>
  <si>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</si>
  <si>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</si>
  <si>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</si>
  <si>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</si>
  <si>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</si>
  <si>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</si>
  <si>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</si>
  <si>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</si>
  <si>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</si>
  <si>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</si>
  <si>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</si>
  <si>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</si>
  <si>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</si>
  <si>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</si>
  <si>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</si>
  <si>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</si>
  <si>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</si>
  <si>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</si>
  <si>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</si>
  <si>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</si>
  <si>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</si>
  <si>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</si>
  <si>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</si>
  <si>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</si>
  <si>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</si>
  <si>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</si>
  <si>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</si>
  <si>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</si>
  <si>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</si>
  <si>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</si>
  <si>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</si>
  <si>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</si>
  <si>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</si>
  <si>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</si>
  <si>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</si>
  <si>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</si>
  <si>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</si>
  <si>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</si>
  <si>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</si>
  <si>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</si>
  <si>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</si>
  <si>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</si>
  <si>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</si>
  <si>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</si>
  <si>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</si>
  <si>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</si>
  <si>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</si>
  <si>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</si>
  <si>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</si>
  <si>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</si>
  <si>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</si>
  <si>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</si>
  <si>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</si>
  <si>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</si>
  <si>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</si>
  <si>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</si>
  <si>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</si>
  <si>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</si>
  <si>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</si>
  <si>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</si>
  <si>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</si>
  <si>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</si>
  <si>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</si>
  <si>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</si>
  <si>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</si>
  <si>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</si>
  <si>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</si>
  <si>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</si>
  <si>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</si>
  <si>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</si>
  <si>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</si>
  <si>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</si>
  <si>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</si>
  <si>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</si>
  <si>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</si>
  <si>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</si>
  <si>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</si>
  <si>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</si>
  <si>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</si>
  <si>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</si>
  <si>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</si>
  <si>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</si>
  <si>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</si>
  <si>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</si>
  <si>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</si>
  <si>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</si>
  <si>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</si>
  <si>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</si>
  <si>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</si>
  <si>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</si>
  <si>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</si>
  <si>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</si>
  <si>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</si>
  <si>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</si>
  <si>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</si>
  <si>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</si>
  <si>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</si>
  <si>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</si>
  <si>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</si>
  <si>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</si>
  <si>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</si>
  <si>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</si>
  <si>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</si>
  <si>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</si>
  <si>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</si>
  <si>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</si>
  <si>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</si>
  <si>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</si>
  <si>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</si>
  <si>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</si>
  <si>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</si>
  <si>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</si>
  <si>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</si>
  <si>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</si>
  <si>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</si>
  <si>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</si>
  <si>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</si>
  <si>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</si>
  <si>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</si>
  <si>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</si>
  <si>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</si>
  <si>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</si>
  <si>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</si>
  <si>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</si>
  <si>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</si>
  <si>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</si>
  <si>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</si>
  <si>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</si>
  <si>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</si>
  <si>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</si>
  <si>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</si>
  <si>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</si>
  <si>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</si>
  <si>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</si>
  <si>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</si>
  <si>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</si>
  <si>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</si>
  <si>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</si>
  <si>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</si>
  <si>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</si>
  <si>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</si>
  <si>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</si>
  <si>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</si>
  <si>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</si>
  <si>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</si>
  <si>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</si>
  <si>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</si>
  <si>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</si>
  <si>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</si>
  <si>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</si>
  <si>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</si>
  <si>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</si>
  <si>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</si>
  <si>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</si>
  <si>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</si>
  <si>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</si>
  <si>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</si>
  <si>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</si>
  <si>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</si>
  <si>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</si>
  <si>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</si>
  <si>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</si>
  <si>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</si>
  <si>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</si>
  <si>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</si>
  <si>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</si>
  <si>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</si>
  <si>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</si>
  <si>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</si>
  <si>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</si>
  <si>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</si>
  <si>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</si>
  <si>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</si>
  <si>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</si>
  <si>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</si>
  <si>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</si>
  <si>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</si>
  <si>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</si>
  <si>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</si>
  <si>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</si>
  <si>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</si>
  <si>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</si>
  <si>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</si>
  <si>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</si>
  <si>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</si>
  <si>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</si>
  <si>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</si>
  <si>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</si>
  <si>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</si>
  <si>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</si>
  <si>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</si>
  <si>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</si>
  <si>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</si>
  <si>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</si>
  <si>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</si>
  <si>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</si>
  <si>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</si>
  <si>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</si>
  <si>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</si>
  <si>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</si>
  <si>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</si>
  <si>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</si>
  <si>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</si>
  <si>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</si>
  <si>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</si>
  <si>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</si>
  <si>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</si>
  <si>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</si>
  <si>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</si>
  <si>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</si>
  <si>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</si>
  <si>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</si>
  <si>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</si>
  <si>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</si>
  <si>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</si>
  <si>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</si>
  <si>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</si>
  <si>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</si>
  <si>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</si>
  <si>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</si>
  <si>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</si>
  <si>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</si>
  <si>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</si>
  <si>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</si>
  <si>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</si>
  <si>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</si>
  <si>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</si>
  <si>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</si>
  <si>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</si>
  <si>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</si>
  <si>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</si>
  <si>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</si>
  <si>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</si>
  <si>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</si>
  <si>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</si>
  <si>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</si>
  <si>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</si>
  <si>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</si>
  <si>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</si>
  <si>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</si>
  <si>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</si>
  <si>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</si>
  <si>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</si>
  <si>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</si>
  <si>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</si>
  <si>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</si>
  <si>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</si>
  <si>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</si>
  <si>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</si>
  <si>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</si>
  <si>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</si>
  <si>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</si>
  <si>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</si>
  <si>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</si>
  <si>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</si>
  <si>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</si>
  <si>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</si>
  <si>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</si>
  <si>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</si>
  <si>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</si>
  <si>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</si>
  <si>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</si>
  <si>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</si>
  <si>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</si>
  <si>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</si>
  <si>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</si>
  <si>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</si>
  <si>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</si>
  <si>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</si>
  <si>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</si>
  <si>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</si>
  <si>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</si>
  <si>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</si>
  <si>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</si>
  <si>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</si>
  <si>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</si>
  <si>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</si>
  <si>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</si>
  <si>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</si>
  <si>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</si>
  <si>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</si>
  <si>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</si>
  <si>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</si>
  <si>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</si>
  <si>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</si>
  <si>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</si>
  <si>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</si>
  <si>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</si>
  <si>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</si>
  <si>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</si>
  <si>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</si>
  <si>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</si>
  <si>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</si>
  <si>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</si>
  <si>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</si>
  <si>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</si>
  <si>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</si>
  <si>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</si>
  <si>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</si>
  <si>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</si>
  <si>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</si>
  <si>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</si>
  <si>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</si>
  <si>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</si>
  <si>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</si>
  <si>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</si>
  <si>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</si>
  <si>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</si>
  <si>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</si>
  <si>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</si>
  <si>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</si>
  <si>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</si>
  <si>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</si>
  <si>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</si>
  <si>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</si>
  <si>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</si>
  <si>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</si>
  <si>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</si>
  <si>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</si>
  <si>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</si>
  <si>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</si>
  <si>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</si>
  <si>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</si>
  <si>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</si>
  <si>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</si>
  <si>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</si>
  <si>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</si>
  <si>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</si>
  <si>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</si>
  <si>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</si>
  <si>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</si>
  <si>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</si>
  <si>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</si>
  <si>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</si>
  <si>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</si>
  <si>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</si>
  <si>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</si>
  <si>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</si>
  <si>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</si>
  <si>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</si>
  <si>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</si>
  <si>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</si>
  <si>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</si>
  <si>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</si>
  <si>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</si>
  <si>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</si>
  <si>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</si>
  <si>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</si>
  <si>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</si>
  <si>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</si>
  <si>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</si>
  <si>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</si>
  <si>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</si>
  <si>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</si>
  <si>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</si>
  <si>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</si>
  <si>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</si>
  <si>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</si>
  <si>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</si>
  <si>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</si>
  <si>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</si>
  <si>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</si>
  <si>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</si>
  <si>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</si>
  <si>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</si>
  <si>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</si>
  <si>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</si>
  <si>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</si>
  <si>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</si>
  <si>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</si>
  <si>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</si>
  <si>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</si>
  <si>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</si>
  <si>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</si>
  <si>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</si>
  <si>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</si>
  <si>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</si>
  <si>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</si>
  <si>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</si>
  <si>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</si>
  <si>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</si>
  <si>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</si>
  <si>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</si>
  <si>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</si>
  <si>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</si>
  <si>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</si>
  <si>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</si>
  <si>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</si>
  <si>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</si>
  <si>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</si>
  <si>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</si>
  <si>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</si>
  <si>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</si>
  <si>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</si>
  <si>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</si>
  <si>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</si>
  <si>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</si>
  <si>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</si>
  <si>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</si>
  <si>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</si>
  <si>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</si>
  <si>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</si>
  <si>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</si>
  <si>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</si>
  <si>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</si>
  <si>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</si>
  <si>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</si>
  <si>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</si>
  <si>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</si>
  <si>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</si>
  <si>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</si>
  <si>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</si>
  <si>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</si>
  <si>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</si>
  <si>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</si>
  <si>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</si>
  <si>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</si>
  <si>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</si>
  <si>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</si>
  <si>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</si>
  <si>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</si>
  <si>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</si>
  <si>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</si>
  <si>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</si>
  <si>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</si>
  <si>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</si>
  <si>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</si>
  <si>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</si>
  <si>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</si>
  <si>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</si>
  <si>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</si>
  <si>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</si>
  <si>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</si>
  <si>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</si>
  <si>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</si>
  <si>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</si>
  <si>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</si>
  <si>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</si>
  <si>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</si>
  <si>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</si>
  <si>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</si>
  <si>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</si>
  <si>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</si>
  <si>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</si>
  <si>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</si>
  <si>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</si>
  <si>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</si>
  <si>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</si>
  <si>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</si>
  <si>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</si>
  <si>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</si>
  <si>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</si>
  <si>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</si>
  <si>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</si>
  <si>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</si>
  <si>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</si>
  <si>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</si>
  <si>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</si>
  <si>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</si>
  <si>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</si>
  <si>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</si>
  <si>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</si>
  <si>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</si>
  <si>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</si>
  <si>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</si>
  <si>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</si>
  <si>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</si>
  <si>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</si>
  <si>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</si>
  <si>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</si>
  <si>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</si>
  <si>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</si>
  <si>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</si>
  <si>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</si>
  <si>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</si>
  <si>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</si>
  <si>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</si>
  <si>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</si>
  <si>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</si>
  <si>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</si>
  <si>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</si>
  <si>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</si>
  <si>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</si>
  <si>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</si>
  <si>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</si>
  <si>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</si>
  <si>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</si>
  <si>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</si>
  <si>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</si>
  <si>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</si>
  <si>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</si>
  <si>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</si>
  <si>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</si>
  <si>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</si>
  <si>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</si>
  <si>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</si>
  <si>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</si>
  <si>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</si>
  <si>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</si>
  <si>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</si>
  <si>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</si>
  <si>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</si>
  <si>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</si>
  <si>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</si>
  <si>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</si>
  <si>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</si>
  <si>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</si>
  <si>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</si>
  <si>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</si>
  <si>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</si>
  <si>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</si>
  <si>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</si>
  <si>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</si>
  <si>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</si>
  <si>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</si>
  <si>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</si>
  <si>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</si>
  <si>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</si>
  <si>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</si>
  <si>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</si>
  <si>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</si>
  <si>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</si>
  <si>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</si>
  <si>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</si>
  <si>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</si>
  <si>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</si>
  <si>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</si>
  <si>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</si>
  <si>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</si>
  <si>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</si>
  <si>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</si>
  <si>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</si>
  <si>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</si>
  <si>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</si>
  <si>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</si>
  <si>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</si>
  <si>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</si>
  <si>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</si>
  <si>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</si>
  <si>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</si>
  <si>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</si>
  <si>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</si>
  <si>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</si>
  <si>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</si>
  <si>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</si>
  <si>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</si>
  <si>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</si>
  <si>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</si>
  <si>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</si>
  <si>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</si>
  <si>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</si>
  <si>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</si>
  <si>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</si>
  <si>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</si>
  <si>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</si>
  <si>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</si>
  <si>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</si>
  <si>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</si>
  <si>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</si>
  <si>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</si>
  <si>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</si>
  <si>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</si>
  <si>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</si>
  <si>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</si>
  <si>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</si>
  <si>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</si>
  <si>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</si>
  <si>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</si>
  <si>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</si>
  <si>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</si>
  <si>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</si>
  <si>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</si>
  <si>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</si>
  <si>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</si>
  <si>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</si>
  <si>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</si>
  <si>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</si>
  <si>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</si>
  <si>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</si>
  <si>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</si>
  <si>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</si>
  <si>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</si>
  <si>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</si>
  <si>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</si>
  <si>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</si>
  <si>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</si>
  <si>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</si>
  <si>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</si>
  <si>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</si>
  <si>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</si>
  <si>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</si>
  <si>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</si>
  <si>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</si>
  <si>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</si>
  <si>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</si>
  <si>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</si>
  <si>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</si>
  <si>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</si>
  <si>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</si>
  <si>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</si>
  <si>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</si>
  <si>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</si>
  <si>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</si>
  <si>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</si>
  <si>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</si>
  <si>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</si>
  <si>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</si>
  <si>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</si>
  <si>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</si>
  <si>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</si>
  <si>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</si>
  <si>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</si>
  <si>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</si>
  <si>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</si>
  <si>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</si>
  <si>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</si>
  <si>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</si>
  <si>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</si>
  <si>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</si>
  <si>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</si>
  <si>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</si>
  <si>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</si>
  <si>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</si>
  <si>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</si>
  <si>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</si>
  <si>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</si>
  <si>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</si>
  <si>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</si>
  <si>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</si>
  <si>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</si>
  <si>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</si>
  <si>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</si>
  <si>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</si>
  <si>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</si>
  <si>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</si>
  <si>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</si>
  <si>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</si>
  <si>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</si>
  <si>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</si>
  <si>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</si>
  <si>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</si>
  <si>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</si>
  <si>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</si>
  <si>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</si>
  <si>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</si>
  <si>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</si>
  <si>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</si>
  <si>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</si>
  <si>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</si>
  <si>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</si>
  <si>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</si>
  <si>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</si>
  <si>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</si>
  <si>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</si>
  <si>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</si>
  <si>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</si>
  <si>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</si>
  <si>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</si>
  <si>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</si>
  <si>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</si>
  <si>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</si>
  <si>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</si>
  <si>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</si>
  <si>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</si>
  <si>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</si>
  <si>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</si>
  <si>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</si>
  <si>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</si>
  <si>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</si>
  <si>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</si>
  <si>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</si>
  <si>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</si>
  <si>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</si>
  <si>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</si>
  <si>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</si>
  <si>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</si>
  <si>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</si>
  <si>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</si>
  <si>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</si>
  <si>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</si>
  <si>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</si>
  <si>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</si>
  <si>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</si>
  <si>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</si>
  <si>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</si>
  <si>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</si>
  <si>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</si>
  <si>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</si>
  <si>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</si>
  <si>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</si>
  <si>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</si>
  <si>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</si>
  <si>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</si>
  <si>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</si>
  <si>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</si>
  <si>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</si>
  <si>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</si>
  <si>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</si>
  <si>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</si>
  <si>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</si>
  <si>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</si>
  <si>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</si>
  <si>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</si>
  <si>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</si>
  <si>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</si>
  <si>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</si>
  <si>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</si>
  <si>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</si>
  <si>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</si>
  <si>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</si>
  <si>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</si>
  <si>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</si>
  <si>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</si>
  <si>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</si>
  <si>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</si>
  <si>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</si>
  <si>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</si>
  <si>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</si>
  <si>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</si>
  <si>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</si>
  <si>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</si>
  <si>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</si>
  <si>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</si>
  <si>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</si>
  <si>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</si>
  <si>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</si>
  <si>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</si>
  <si>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</si>
  <si>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</si>
  <si>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</si>
  <si>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</si>
  <si>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</si>
  <si>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</si>
  <si>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</si>
  <si>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</si>
  <si>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</si>
  <si>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</si>
  <si>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</si>
  <si>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</si>
  <si>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</si>
  <si>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</si>
  <si>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</si>
  <si>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</si>
  <si>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</si>
  <si>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</si>
  <si>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</si>
  <si>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</si>
  <si>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</si>
  <si>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</si>
  <si>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</si>
  <si>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</si>
  <si>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</si>
  <si>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</si>
  <si>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</si>
  <si>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</si>
  <si>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</si>
  <si>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</si>
  <si>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</si>
  <si>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</si>
  <si>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</si>
  <si>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</si>
  <si>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</si>
  <si>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</si>
  <si>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</si>
  <si>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</si>
  <si>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</si>
  <si>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</si>
  <si>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</si>
  <si>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</si>
  <si>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</si>
  <si>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</si>
  <si>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</si>
  <si>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</si>
  <si>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</si>
  <si>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</si>
  <si>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</si>
  <si>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</si>
  <si>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</si>
  <si>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</si>
  <si>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</si>
  <si>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</si>
  <si>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</si>
  <si>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</si>
  <si>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</si>
  <si>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</si>
  <si>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</si>
  <si>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</si>
  <si>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</si>
  <si>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</si>
  <si>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</si>
  <si>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</si>
  <si>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</si>
  <si>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</si>
  <si>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</si>
  <si>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</si>
  <si>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</si>
  <si>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</si>
  <si>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</si>
  <si>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</si>
  <si>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</si>
  <si>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</si>
  <si>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</si>
  <si>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</si>
  <si>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</si>
  <si>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</si>
  <si>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</si>
  <si>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</si>
  <si>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</si>
  <si>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</si>
  <si>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</si>
  <si>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</si>
  <si>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</si>
  <si>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</si>
  <si>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</si>
  <si>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</si>
  <si>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</si>
  <si>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</si>
  <si>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</si>
  <si>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</si>
  <si>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</si>
  <si>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</si>
  <si>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</si>
  <si>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</si>
  <si>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</si>
  <si>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</si>
  <si>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</si>
  <si>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</si>
  <si>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</si>
  <si>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</si>
  <si>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</si>
  <si>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</si>
  <si>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</si>
  <si>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</si>
  <si>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</si>
  <si>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</si>
  <si>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</si>
  <si>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</si>
  <si>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</si>
  <si>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</si>
  <si>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</si>
  <si>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</si>
  <si>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</si>
  <si>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</si>
  <si>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</si>
  <si>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</si>
  <si>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</si>
  <si>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</si>
  <si>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</si>
  <si>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</si>
  <si>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</si>
  <si>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</si>
  <si>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</si>
  <si>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</si>
  <si>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</si>
  <si>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</si>
  <si>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</si>
  <si>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</si>
  <si>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</si>
  <si>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</si>
  <si>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</si>
  <si>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</si>
  <si>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</si>
  <si>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</si>
  <si>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</si>
  <si>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</si>
  <si>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</si>
  <si>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</si>
  <si>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</si>
  <si>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</si>
  <si>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</si>
  <si>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</si>
  <si>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</si>
  <si>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</si>
  <si>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</si>
  <si>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</si>
  <si>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</si>
  <si>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</si>
  <si>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</si>
  <si>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</si>
  <si>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</si>
  <si>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</si>
  <si>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</si>
  <si>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</si>
  <si>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</si>
  <si>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</si>
  <si>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</si>
  <si>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</si>
  <si>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</si>
  <si>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</si>
  <si>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</si>
  <si>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</si>
  <si>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</si>
  <si>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</si>
  <si>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</si>
  <si>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</si>
  <si>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</si>
  <si>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</si>
  <si>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</si>
  <si>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</si>
  <si>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</si>
  <si>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</si>
  <si>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</si>
  <si>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</si>
  <si>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</si>
  <si>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</si>
  <si>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</si>
  <si>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</si>
  <si>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</si>
  <si>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</si>
  <si>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</si>
  <si>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</si>
  <si>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</si>
  <si>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</si>
  <si>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</si>
  <si>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</si>
  <si>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</si>
  <si>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</si>
  <si>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</si>
  <si>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</si>
  <si>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</si>
  <si>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</si>
  <si>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</si>
  <si>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</si>
  <si>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</si>
  <si>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</si>
  <si>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</si>
  <si>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</si>
  <si>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</si>
  <si>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</si>
  <si>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</si>
  <si>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</si>
  <si>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</si>
  <si>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</si>
  <si>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</si>
  <si>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</si>
  <si>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</si>
  <si>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</si>
  <si>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</si>
  <si>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</si>
  <si>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</si>
  <si>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</si>
  <si>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</si>
  <si>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</si>
  <si>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</si>
  <si>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</si>
  <si>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</si>
  <si>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</si>
  <si>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</si>
  <si>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</si>
  <si>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</si>
  <si>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</si>
  <si>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</si>
  <si>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</si>
  <si>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</si>
  <si>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</si>
  <si>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</si>
  <si>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</si>
  <si>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</si>
  <si>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</si>
  <si>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</si>
  <si>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</si>
  <si>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</si>
  <si>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</si>
  <si>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</si>
  <si>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</si>
  <si>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</si>
  <si>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</si>
  <si>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</si>
  <si>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</si>
  <si>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</si>
  <si>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</si>
  <si>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</si>
  <si>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</si>
  <si>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</si>
  <si>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</si>
  <si>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</si>
  <si>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</si>
  <si>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</si>
  <si>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</si>
  <si>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</si>
  <si>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</si>
  <si>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</si>
  <si>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</si>
  <si>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</si>
  <si>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</si>
  <si>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</si>
  <si>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</si>
  <si>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</si>
  <si>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</si>
  <si>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</si>
  <si>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</si>
  <si>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</si>
  <si>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</si>
  <si>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</si>
  <si>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</si>
  <si>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</si>
  <si>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</si>
  <si>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</si>
  <si>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</si>
  <si>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</si>
  <si>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</si>
  <si>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</si>
  <si>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</si>
  <si>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</si>
  <si>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</si>
  <si>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</si>
  <si>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</si>
  <si>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</si>
  <si>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</si>
  <si>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</si>
  <si>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</si>
  <si>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</si>
  <si>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</si>
  <si>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</si>
  <si>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</si>
  <si>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</si>
  <si>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</si>
  <si>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</si>
  <si>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</si>
  <si>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</si>
  <si>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</si>
  <si>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</si>
  <si>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</si>
  <si>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</si>
  <si>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</si>
  <si>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</si>
  <si>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</si>
  <si>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</si>
  <si>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</si>
  <si>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</si>
  <si>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</si>
  <si>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</si>
  <si>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</si>
  <si>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</si>
  <si>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</si>
  <si>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</si>
  <si>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</si>
  <si>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</si>
  <si>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</si>
  <si>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</si>
  <si>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</si>
  <si>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</si>
  <si>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</si>
  <si>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</si>
  <si>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</si>
  <si>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</si>
  <si>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</si>
  <si>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</si>
  <si>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</si>
  <si>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</si>
  <si>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</si>
  <si>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</si>
  <si>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</si>
  <si>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</si>
  <si>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</si>
  <si>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</si>
  <si>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</si>
  <si>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</si>
  <si>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</si>
  <si>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</si>
  <si>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</si>
  <si>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</si>
  <si>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</si>
  <si>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</si>
  <si>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</si>
  <si>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</si>
  <si>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</si>
  <si>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</si>
  <si>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</si>
  <si>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</si>
  <si>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</si>
  <si>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</si>
  <si>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</si>
  <si>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</si>
  <si>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</si>
  <si>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</si>
  <si>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</si>
  <si>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</si>
  <si>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</si>
  <si>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</si>
  <si>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</si>
  <si>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</si>
  <si>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</si>
  <si>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</si>
  <si>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</si>
  <si>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</si>
  <si>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</si>
  <si>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</si>
  <si>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</si>
  <si>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</si>
  <si>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</si>
  <si>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</si>
  <si>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</si>
  <si>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</si>
  <si>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</si>
  <si>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</si>
  <si>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</si>
  <si>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</si>
  <si>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</si>
  <si>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</si>
  <si>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</si>
  <si>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</si>
  <si>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</si>
  <si>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</si>
  <si>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</si>
  <si>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</si>
  <si>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</si>
  <si>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</si>
  <si>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</si>
  <si>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</si>
  <si>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</si>
  <si>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</si>
  <si>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</si>
  <si>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</si>
  <si>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</si>
  <si>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</si>
  <si>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</si>
  <si>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</si>
  <si>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</si>
  <si>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</si>
  <si>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</si>
  <si>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</si>
  <si>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</si>
  <si>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</si>
  <si>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</si>
  <si>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</si>
  <si>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</si>
  <si>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</si>
  <si>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</si>
  <si>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</si>
  <si>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</si>
  <si>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</si>
  <si>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</si>
  <si>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</si>
  <si>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</si>
  <si>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</si>
  <si>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</si>
  <si>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</si>
  <si>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</si>
  <si>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</si>
  <si>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</si>
  <si>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</si>
  <si>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</si>
  <si>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</si>
  <si>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</si>
  <si>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</si>
  <si>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</si>
  <si>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</si>
  <si>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</si>
  <si>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</si>
  <si>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</si>
  <si>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</si>
  <si>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</si>
  <si>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</si>
  <si>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</si>
  <si>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</si>
  <si>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</si>
  <si>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</si>
  <si>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</si>
  <si>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</si>
  <si>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</si>
  <si>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</si>
  <si>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</si>
  <si>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</si>
  <si>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</si>
  <si>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</si>
  <si>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</si>
  <si>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</si>
  <si>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</si>
  <si>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</si>
  <si>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</si>
  <si>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</si>
  <si>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</si>
  <si>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</si>
  <si>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</si>
  <si>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</si>
  <si>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</si>
  <si>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</si>
  <si>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</si>
  <si>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</si>
  <si>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</si>
  <si>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</si>
  <si>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</si>
  <si>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</si>
  <si>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</si>
  <si>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</si>
  <si>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</si>
  <si>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</si>
  <si>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</si>
  <si>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</si>
  <si>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</si>
  <si>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</si>
  <si>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</si>
  <si>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</si>
  <si>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</si>
  <si>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</si>
  <si>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</si>
  <si>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</si>
  <si>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</si>
  <si>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</si>
  <si>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</si>
  <si>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</si>
  <si>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</si>
  <si>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</si>
  <si>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</si>
  <si>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</si>
  <si>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</si>
  <si>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</si>
  <si>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</si>
  <si>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</si>
  <si>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</si>
  <si>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</si>
  <si>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</si>
  <si>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</si>
  <si>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</si>
  <si>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</si>
  <si>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</si>
  <si>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</si>
  <si>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</si>
  <si>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</si>
  <si>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</si>
  <si>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</si>
  <si>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</si>
  <si>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</si>
  <si>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</si>
  <si>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</si>
  <si>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</si>
  <si>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</si>
  <si>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</si>
  <si>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</si>
  <si>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</si>
  <si>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</si>
  <si>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</si>
  <si>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</si>
  <si>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</si>
  <si>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</si>
  <si>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</si>
  <si>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</si>
  <si>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</si>
  <si>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</si>
  <si>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</si>
  <si>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</si>
  <si>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</si>
  <si>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</si>
  <si>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</si>
  <si>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</si>
  <si>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</si>
  <si>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</si>
  <si>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</si>
  <si>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</si>
  <si>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</si>
  <si>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</si>
  <si>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</si>
  <si>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</si>
  <si>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</si>
  <si>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</si>
  <si>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</si>
  <si>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</si>
  <si>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</si>
  <si>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</si>
  <si>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</si>
  <si>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</si>
  <si>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</si>
  <si>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</si>
  <si>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</si>
  <si>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</si>
  <si>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</si>
  <si>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</si>
  <si>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</si>
  <si>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</si>
  <si>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</si>
  <si>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</si>
  <si>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</si>
  <si>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</si>
  <si>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</si>
  <si>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</si>
  <si>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</si>
  <si>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</si>
  <si>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</si>
  <si>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</si>
  <si>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</si>
  <si>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</si>
  <si>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</si>
  <si>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</si>
  <si>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</si>
  <si>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</si>
  <si>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</si>
  <si>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</si>
  <si>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</si>
  <si>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</si>
  <si>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</si>
  <si>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</si>
  <si>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</si>
  <si>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</si>
  <si>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</si>
  <si>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</si>
  <si>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</si>
  <si>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</si>
  <si>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</si>
  <si>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</si>
  <si>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</si>
  <si>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</si>
  <si>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</si>
  <si>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</si>
  <si>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</si>
  <si>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</si>
  <si>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</si>
  <si>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</si>
  <si>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</si>
  <si>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</si>
  <si>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</si>
  <si>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</si>
  <si>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</si>
  <si>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</si>
  <si>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</si>
  <si>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</si>
  <si>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</si>
  <si>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</si>
  <si>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</si>
  <si>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</si>
  <si>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</si>
  <si>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</si>
  <si>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</si>
  <si>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</si>
  <si>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</si>
  <si>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</si>
  <si>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</si>
  <si>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</si>
  <si>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</si>
  <si>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</si>
  <si>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</si>
  <si>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</si>
  <si>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</si>
  <si>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</si>
  <si>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</si>
  <si>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</si>
  <si>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</si>
  <si>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</si>
  <si>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</si>
  <si>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</si>
  <si>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</si>
  <si>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</si>
  <si>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</si>
  <si>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</si>
  <si>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</si>
  <si>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</si>
  <si>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</si>
  <si>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</si>
  <si>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</si>
  <si>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</si>
  <si>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</si>
  <si>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</si>
  <si>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</si>
  <si>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</si>
  <si>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</si>
  <si>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</si>
  <si>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</si>
  <si>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</si>
  <si>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</si>
  <si>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</si>
  <si>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</si>
  <si>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</si>
  <si>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</si>
  <si>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</si>
  <si>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</si>
  <si>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</si>
  <si>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</si>
  <si>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</si>
  <si>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</si>
  <si>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</si>
  <si>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</si>
  <si>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</si>
  <si>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</si>
  <si>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</si>
  <si>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</si>
  <si>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</si>
  <si>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</si>
  <si>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</si>
  <si>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</si>
  <si>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</si>
  <si>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</si>
  <si>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</si>
  <si>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</si>
  <si>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</si>
  <si>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</si>
  <si>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</si>
  <si>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</si>
  <si>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</si>
  <si>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</si>
  <si>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</si>
  <si>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</si>
  <si>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</si>
  <si>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</si>
  <si>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</si>
  <si>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</si>
  <si>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</si>
  <si>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</si>
  <si>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</si>
  <si>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</si>
  <si>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</si>
  <si>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</si>
  <si>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</si>
  <si>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</si>
  <si>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</si>
  <si>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</si>
  <si>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</si>
  <si>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</si>
  <si>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</si>
  <si>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</si>
  <si>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</si>
  <si>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</si>
  <si>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</si>
  <si>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</si>
  <si>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</si>
  <si>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</si>
  <si>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</si>
  <si>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</si>
  <si>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</si>
  <si>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</si>
  <si>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</si>
  <si>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</si>
  <si>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</si>
  <si>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</si>
  <si>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</si>
  <si>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</si>
  <si>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</si>
  <si>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</si>
  <si>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</si>
  <si>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</si>
  <si>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</si>
  <si>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</si>
  <si>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</si>
  <si>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</si>
  <si>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</si>
  <si>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</si>
  <si>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</si>
  <si>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</si>
  <si>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</si>
  <si>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</si>
  <si>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</si>
  <si>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</si>
  <si>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</si>
  <si>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</si>
  <si>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</si>
  <si>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</si>
  <si>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</si>
  <si>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</si>
  <si>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</si>
  <si>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</si>
  <si>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</si>
  <si>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</si>
  <si>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</si>
  <si>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</si>
  <si>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</si>
  <si>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</si>
  <si>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</si>
  <si>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</si>
  <si>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</si>
  <si>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</si>
  <si>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</si>
  <si>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</si>
  <si>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</si>
  <si>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</si>
  <si>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</si>
  <si>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</si>
  <si>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</si>
  <si>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</si>
  <si>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</si>
  <si>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</si>
  <si>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</si>
  <si>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</si>
  <si>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</si>
  <si>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</si>
  <si>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</si>
  <si>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</si>
  <si>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</si>
  <si>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</si>
  <si>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</si>
  <si>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</si>
  <si>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</si>
  <si>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</si>
  <si>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</si>
  <si>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</si>
  <si>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</si>
  <si>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</si>
  <si>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</si>
  <si>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</si>
  <si>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</si>
  <si>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</si>
  <si>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</si>
  <si>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</si>
  <si>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</si>
  <si>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</si>
  <si>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</si>
  <si>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</si>
  <si>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</si>
  <si>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</si>
  <si>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</si>
  <si>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</si>
  <si>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</si>
  <si>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</si>
  <si>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</si>
  <si>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</si>
  <si>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</si>
  <si>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</si>
  <si>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</si>
  <si>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</si>
  <si>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</si>
  <si>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</si>
  <si>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</si>
  <si>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</si>
  <si>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</si>
  <si>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</si>
  <si>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</si>
  <si>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</si>
  <si>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</si>
  <si>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</si>
  <si>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</si>
  <si>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</si>
  <si>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</si>
  <si>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</si>
  <si>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</si>
  <si>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</si>
  <si>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</si>
  <si>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</si>
  <si>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</si>
  <si>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</si>
  <si>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</si>
  <si>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</si>
  <si>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</si>
  <si>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</si>
  <si>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</si>
  <si>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</si>
  <si>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</si>
  <si>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</si>
  <si>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</si>
  <si>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</si>
  <si>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</si>
  <si>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</si>
  <si>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</si>
  <si>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</si>
  <si>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</si>
  <si>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</si>
  <si>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</si>
  <si>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</si>
  <si>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</si>
  <si>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</si>
  <si>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</si>
  <si>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</si>
  <si>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</si>
  <si>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</si>
  <si>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</si>
  <si>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</si>
  <si>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</si>
  <si>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</si>
  <si>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</si>
  <si>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</si>
  <si>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</si>
  <si>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</si>
  <si>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</si>
  <si>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</si>
  <si>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</si>
  <si>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</si>
  <si>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</si>
  <si>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</si>
  <si>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</si>
  <si>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</si>
  <si>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</si>
  <si>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</si>
  <si>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</si>
  <si>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</si>
  <si>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</si>
  <si>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</si>
  <si>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</si>
  <si>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</si>
  <si>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</si>
  <si>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</si>
  <si>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</si>
  <si>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</si>
  <si>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</si>
  <si>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</si>
  <si>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</si>
  <si>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</si>
  <si>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</si>
  <si>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</si>
  <si>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</si>
  <si>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</si>
  <si>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</si>
  <si>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</si>
  <si>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</si>
  <si>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</si>
  <si>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</si>
  <si>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</si>
  <si>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</si>
  <si>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</si>
  <si>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</si>
  <si>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</si>
  <si>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</si>
  <si>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</si>
  <si>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</si>
  <si>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</si>
  <si>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</si>
  <si>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</si>
  <si>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</si>
  <si>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</si>
  <si>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</si>
  <si>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</si>
  <si>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</si>
  <si>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</si>
  <si>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</si>
  <si>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</si>
  <si>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</si>
  <si>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</si>
  <si>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</si>
  <si>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</si>
  <si>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</si>
  <si>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</si>
  <si>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</si>
  <si>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</si>
  <si>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</si>
  <si>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</si>
  <si>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</si>
  <si>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</si>
  <si>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</si>
  <si>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</si>
  <si>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</si>
  <si>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</si>
  <si>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</si>
  <si>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</si>
  <si>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</si>
  <si>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</si>
  <si>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</si>
  <si>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</si>
  <si>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</si>
  <si>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</si>
  <si>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</si>
  <si>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</si>
  <si>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</si>
  <si>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</si>
  <si>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</si>
  <si>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</si>
  <si>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</si>
  <si>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</si>
  <si>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</si>
  <si>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</si>
  <si>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</si>
  <si>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</si>
  <si>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</si>
  <si>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</si>
  <si>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</si>
  <si>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</si>
  <si>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</si>
  <si>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</si>
  <si>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</si>
  <si>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</si>
  <si>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</si>
  <si>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</si>
  <si>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</si>
  <si>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</si>
  <si>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</si>
  <si>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</si>
  <si>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</si>
  <si>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</si>
  <si>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</si>
  <si>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</si>
  <si>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</si>
  <si>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</si>
  <si>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</si>
  <si>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</si>
  <si>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</si>
  <si>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</si>
  <si>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</si>
  <si>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</si>
  <si>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</si>
  <si>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</si>
  <si>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</si>
  <si>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</si>
  <si>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</si>
  <si>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</si>
  <si>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</si>
  <si>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</si>
  <si>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</si>
  <si>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</si>
  <si>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</si>
  <si>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</si>
  <si>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</si>
  <si>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</si>
  <si>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</si>
  <si>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</si>
  <si>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</si>
  <si>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</si>
  <si>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</si>
  <si>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</si>
  <si>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</si>
  <si>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</si>
  <si>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</si>
  <si>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</si>
  <si>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</si>
  <si>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</si>
  <si>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</si>
  <si>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</si>
  <si>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</si>
  <si>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</si>
  <si>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</si>
  <si>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</si>
  <si>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</si>
  <si>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</si>
  <si>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</si>
  <si>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</si>
  <si>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</si>
  <si>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</si>
  <si>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</si>
  <si>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</si>
  <si>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</si>
  <si>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</si>
  <si>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</si>
  <si>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</si>
  <si>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</si>
  <si>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</si>
  <si>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</si>
  <si>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</si>
  <si>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</si>
  <si>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</si>
  <si>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</si>
  <si>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</si>
  <si>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</si>
  <si>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</si>
  <si>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</si>
  <si>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</si>
  <si>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</si>
  <si>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</si>
  <si>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</si>
  <si>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</si>
  <si>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</si>
  <si>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</si>
  <si>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</si>
  <si>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</si>
  <si>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</si>
  <si>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</si>
  <si>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</si>
  <si>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</si>
  <si>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</si>
  <si>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</si>
  <si>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</si>
  <si>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</si>
  <si>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</si>
  <si>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</si>
  <si>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</si>
  <si>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</si>
  <si>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</si>
  <si>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</si>
  <si>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</si>
  <si>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</si>
  <si>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</si>
  <si>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</si>
  <si>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</si>
  <si>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</si>
  <si>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</si>
  <si>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</si>
  <si>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</si>
  <si>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</si>
  <si>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</si>
  <si>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</si>
  <si>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</si>
  <si>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</si>
  <si>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</si>
  <si>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</si>
  <si>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</si>
  <si>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</si>
  <si>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</si>
  <si>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</si>
  <si>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</si>
  <si>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</si>
  <si>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</si>
  <si>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</si>
  <si>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</si>
  <si>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</si>
  <si>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</si>
  <si>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</si>
  <si>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</si>
  <si>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</si>
  <si>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</si>
  <si>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</si>
  <si>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</si>
  <si>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</si>
  <si>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</si>
  <si>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</si>
  <si>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</si>
  <si>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</si>
  <si>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</si>
  <si>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</si>
  <si>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</si>
  <si>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</si>
  <si>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</si>
  <si>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</si>
  <si>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</si>
  <si>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</si>
  <si>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</si>
  <si>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</si>
  <si>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</si>
  <si>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</si>
  <si>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</si>
  <si>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</si>
  <si>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</si>
  <si>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</si>
  <si>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</si>
  <si>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</si>
  <si>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</si>
  <si>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</si>
  <si>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</si>
  <si>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</si>
  <si>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</si>
  <si>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</si>
  <si>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</si>
  <si>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</si>
  <si>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</si>
  <si>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</si>
  <si>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</si>
  <si>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</si>
  <si>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</si>
  <si>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</si>
  <si>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</si>
  <si>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</si>
  <si>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</si>
  <si>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</si>
  <si>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</si>
  <si>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</si>
  <si>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</si>
  <si>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</si>
  <si>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</si>
  <si>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</si>
  <si>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</si>
  <si>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</si>
  <si>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</si>
  <si>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</si>
  <si>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</si>
  <si>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</si>
  <si>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</si>
  <si>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</si>
  <si>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</si>
  <si>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</si>
  <si>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</si>
  <si>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</si>
  <si>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</si>
  <si>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</si>
  <si>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</si>
  <si>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</si>
  <si>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</si>
  <si>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</si>
  <si>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</si>
  <si>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</si>
  <si>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</si>
  <si>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</si>
  <si>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</si>
  <si>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</si>
  <si>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</si>
  <si>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</si>
  <si>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</si>
  <si>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</si>
  <si>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</si>
  <si>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</si>
  <si>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</si>
  <si>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</si>
  <si>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</si>
  <si>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</si>
  <si>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</si>
  <si>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</si>
  <si>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</si>
  <si>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</si>
  <si>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</si>
  <si>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</si>
  <si>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</si>
  <si>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</si>
  <si>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</si>
  <si>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</si>
  <si>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</si>
  <si>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</si>
  <si>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</si>
  <si>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</si>
  <si>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</si>
  <si>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</si>
  <si>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</si>
  <si>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</si>
  <si>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</si>
  <si>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</si>
  <si>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</si>
  <si>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</si>
  <si>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</si>
  <si>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</si>
  <si>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</si>
  <si>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</si>
  <si>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</si>
  <si>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</si>
  <si>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</si>
  <si>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</si>
  <si>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</si>
  <si>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</si>
  <si>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</si>
  <si>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</si>
  <si>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</si>
  <si>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</si>
  <si>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</si>
  <si>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</si>
  <si>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</si>
  <si>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</si>
  <si>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</si>
  <si>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</si>
  <si>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</si>
  <si>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</si>
  <si>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</si>
  <si>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</si>
  <si>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</si>
  <si>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</si>
  <si>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</si>
  <si>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</si>
  <si>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</si>
  <si>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</si>
  <si>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</si>
  <si>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</si>
  <si>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</si>
  <si>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</si>
  <si>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</si>
  <si>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</si>
  <si>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</si>
  <si>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</si>
  <si>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</si>
  <si>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</si>
  <si>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</si>
  <si>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</si>
  <si>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</si>
  <si>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</si>
  <si>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</si>
  <si>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</si>
  <si>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</si>
  <si>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</si>
  <si>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</si>
  <si>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</si>
  <si>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</si>
  <si>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</si>
  <si>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</si>
  <si>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</si>
  <si>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</si>
  <si>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</si>
  <si>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</si>
  <si>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</si>
  <si>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</si>
  <si>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</si>
  <si>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</si>
  <si>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</si>
  <si>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</si>
  <si>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</si>
  <si>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</si>
  <si>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</si>
  <si>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</si>
  <si>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</si>
  <si>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</si>
  <si>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</si>
  <si>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</si>
  <si>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</si>
  <si>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</si>
  <si>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</si>
  <si>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</si>
  <si>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</si>
  <si>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</si>
  <si>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</si>
  <si>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</si>
  <si>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</si>
  <si>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</si>
  <si>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</si>
  <si>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</si>
  <si>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</si>
  <si>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</si>
  <si>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</si>
  <si>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</si>
  <si>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</si>
  <si>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</si>
  <si>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</si>
  <si>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</si>
  <si>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</si>
  <si>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</si>
  <si>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</si>
  <si>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</si>
  <si>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</si>
  <si>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</si>
  <si>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</si>
  <si>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</si>
  <si>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</si>
  <si>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</si>
  <si>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</si>
  <si>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</si>
  <si>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</si>
  <si>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</si>
  <si>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</si>
  <si>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</si>
  <si>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</si>
  <si>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</si>
  <si>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</si>
  <si>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</si>
  <si>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</si>
  <si>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</si>
  <si>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</si>
  <si>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</si>
  <si>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</si>
  <si>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</si>
  <si>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</si>
  <si>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</si>
  <si>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</si>
  <si>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</si>
  <si>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</si>
  <si>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</si>
  <si>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</si>
  <si>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</si>
  <si>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</si>
  <si>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</si>
  <si>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</si>
  <si>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</si>
  <si>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</si>
  <si>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</si>
  <si>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</si>
  <si>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</si>
  <si>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</si>
  <si>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</si>
  <si>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</si>
  <si>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</si>
  <si>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</si>
  <si>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</si>
  <si>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</si>
  <si>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</si>
  <si>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</si>
  <si>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</si>
  <si>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</si>
  <si>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</si>
  <si>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</si>
  <si>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</si>
  <si>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</si>
  <si>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</si>
  <si>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</si>
  <si>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</si>
  <si>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</si>
  <si>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</si>
  <si>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</si>
  <si>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</si>
  <si>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</si>
  <si>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</si>
  <si>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</si>
  <si>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</si>
  <si>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</si>
  <si>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</si>
  <si>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</si>
  <si>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</si>
  <si>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</si>
  <si>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</si>
  <si>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</si>
  <si>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</si>
  <si>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</si>
  <si>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</si>
  <si>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</si>
  <si>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</si>
  <si>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</si>
  <si>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</si>
  <si>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</si>
  <si>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</si>
  <si>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</si>
  <si>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</si>
  <si>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</si>
  <si>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</si>
  <si>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</si>
  <si>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</si>
  <si>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</si>
  <si>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</si>
  <si>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</si>
  <si>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</si>
  <si>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</si>
  <si>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</si>
  <si>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</si>
  <si>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</si>
  <si>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</si>
  <si>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</si>
  <si>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</si>
  <si>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</si>
  <si>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</si>
  <si>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</si>
  <si>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</si>
  <si>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</si>
  <si>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</si>
  <si>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</si>
  <si>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</si>
  <si>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</si>
  <si>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</si>
  <si>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</si>
  <si>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</si>
  <si>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</si>
  <si>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</si>
  <si>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</si>
  <si>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</si>
  <si>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</si>
  <si>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</si>
  <si>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</si>
  <si>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</si>
  <si>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</si>
  <si>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</si>
  <si>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</si>
  <si>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</si>
  <si>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</si>
  <si>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</si>
  <si>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</si>
  <si>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</si>
  <si>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</si>
  <si>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</si>
  <si>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</si>
  <si>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</si>
  <si>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</si>
  <si>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</si>
  <si>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</si>
  <si>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</si>
  <si>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</si>
  <si>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</si>
  <si>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</si>
  <si>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</si>
  <si>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</si>
  <si>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</si>
  <si>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</si>
  <si>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</si>
  <si>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</si>
  <si>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</si>
  <si>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</si>
  <si>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</si>
  <si>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</si>
  <si>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</si>
  <si>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</si>
  <si>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</si>
  <si>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</si>
  <si>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</si>
  <si>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</si>
  <si>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</si>
  <si>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</si>
  <si>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</si>
  <si>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</si>
  <si>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</si>
  <si>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</si>
  <si>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</si>
  <si>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</si>
  <si>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</si>
  <si>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</si>
  <si>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</si>
  <si>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</si>
  <si>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</si>
  <si>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</si>
  <si>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</si>
  <si>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</si>
  <si>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</si>
  <si>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</si>
  <si>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</si>
  <si>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</si>
  <si>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</si>
  <si>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</si>
  <si>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</si>
  <si>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</si>
  <si>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</si>
  <si>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</si>
  <si>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</si>
  <si>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</si>
  <si>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</si>
  <si>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</si>
  <si>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</si>
  <si>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</si>
  <si>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</si>
  <si>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</si>
  <si>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</si>
  <si>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</si>
  <si>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</si>
  <si>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</si>
  <si>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</si>
  <si>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</si>
  <si>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</si>
  <si>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</si>
  <si>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</si>
  <si>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</si>
  <si>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</si>
  <si>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</si>
  <si>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</si>
  <si>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</si>
  <si>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</si>
  <si>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</si>
  <si>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</si>
  <si>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</si>
  <si>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</si>
  <si>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</si>
  <si>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</si>
  <si>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</si>
  <si>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</si>
  <si>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</si>
  <si>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</si>
  <si>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</si>
  <si>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</si>
  <si>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</si>
  <si>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</si>
  <si>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</si>
  <si>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</si>
  <si>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</si>
  <si>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</si>
  <si>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</si>
  <si>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</si>
  <si>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</si>
  <si>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</si>
  <si>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</si>
  <si>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</si>
  <si>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</si>
  <si>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</si>
  <si>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</si>
  <si>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</si>
  <si>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</si>
  <si>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</si>
  <si>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</si>
  <si>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</si>
  <si>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</si>
  <si>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</si>
  <si>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</si>
  <si>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</si>
  <si>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</si>
  <si>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</si>
  <si>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</si>
  <si>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</si>
  <si>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</si>
  <si>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</si>
  <si>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</si>
  <si>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</si>
  <si>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</si>
  <si>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</si>
  <si>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</si>
  <si>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</si>
  <si>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</si>
  <si>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</si>
  <si>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</si>
  <si>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</si>
  <si>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</si>
  <si>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</si>
  <si>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</si>
  <si>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</si>
  <si>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</si>
  <si>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</si>
  <si>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</si>
  <si>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</si>
  <si>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</si>
  <si>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</si>
  <si>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</si>
  <si>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</si>
  <si>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</si>
  <si>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</si>
  <si>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</si>
  <si>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</si>
  <si>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</si>
  <si>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</si>
  <si>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</si>
  <si>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</si>
  <si>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</si>
  <si>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</si>
  <si>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</si>
  <si>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</si>
  <si>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</si>
  <si>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</si>
  <si>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</si>
  <si>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</si>
  <si>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</si>
  <si>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</si>
  <si>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</si>
  <si>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</si>
  <si>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</si>
  <si>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</si>
  <si>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</si>
  <si>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</si>
  <si>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</si>
  <si>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</si>
  <si>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</si>
  <si>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</si>
  <si>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</si>
  <si>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</si>
  <si>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</si>
  <si>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</si>
  <si>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</si>
  <si>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</si>
  <si>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</si>
  <si>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</si>
  <si>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</si>
  <si>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</si>
  <si>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</si>
  <si>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</si>
  <si>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</si>
  <si>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</si>
  <si>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</si>
  <si>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</si>
  <si>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</si>
  <si>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</si>
  <si>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</si>
  <si>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</si>
  <si>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</si>
  <si>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</si>
  <si>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</si>
  <si>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</si>
  <si>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</si>
  <si>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</si>
  <si>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</si>
  <si>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</si>
  <si>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</si>
  <si>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</si>
  <si>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</si>
  <si>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</si>
  <si>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</si>
  <si>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</si>
  <si>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</si>
  <si>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</si>
  <si>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</si>
  <si>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</si>
  <si>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</si>
  <si>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</si>
  <si>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</si>
  <si>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</si>
  <si>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</si>
  <si>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</si>
  <si>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</si>
  <si>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</si>
  <si>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</si>
  <si>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</si>
  <si>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</si>
  <si>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</si>
  <si>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</si>
  <si>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</si>
  <si>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</si>
  <si>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</si>
  <si>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</si>
  <si>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</si>
  <si>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</si>
  <si>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</si>
  <si>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</si>
  <si>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</si>
  <si>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</si>
  <si>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</si>
  <si>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</si>
  <si>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</si>
  <si>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</si>
  <si>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</si>
  <si>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</si>
  <si>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</si>
  <si>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</si>
  <si>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</si>
  <si>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</si>
  <si>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</si>
  <si>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</si>
  <si>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</si>
  <si>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</si>
  <si>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</si>
  <si>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</si>
  <si>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</si>
  <si>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</si>
  <si>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</si>
  <si>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</si>
  <si>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</si>
  <si>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</si>
  <si>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</si>
  <si>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</si>
  <si>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</si>
  <si>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</si>
  <si>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</si>
  <si>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</si>
  <si>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</si>
  <si>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</si>
  <si>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</si>
  <si>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</si>
  <si>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</si>
  <si>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</si>
  <si>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</si>
  <si>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</si>
  <si>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</si>
  <si>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</si>
  <si>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</si>
  <si>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</si>
  <si>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</si>
  <si>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</si>
  <si>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</si>
  <si>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</si>
  <si>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</si>
  <si>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</si>
  <si>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</si>
  <si>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</si>
  <si>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</si>
  <si>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</si>
  <si>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</si>
  <si>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</si>
  <si>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</si>
  <si>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</si>
  <si>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</si>
  <si>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</si>
  <si>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</si>
  <si>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</si>
  <si>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</si>
  <si>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</si>
  <si>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</si>
  <si>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</si>
  <si>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</si>
  <si>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</si>
  <si>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</si>
  <si>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</si>
  <si>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</si>
  <si>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</si>
  <si>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</si>
  <si>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</si>
  <si>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</si>
  <si>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</si>
  <si>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</si>
  <si>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</si>
  <si>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</si>
  <si>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</si>
  <si>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</si>
  <si>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</si>
  <si>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</si>
  <si>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</si>
  <si>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</si>
  <si>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</si>
  <si>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</si>
  <si>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</si>
  <si>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</si>
  <si>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</si>
  <si>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</si>
  <si>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</si>
  <si>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</si>
  <si>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</si>
  <si>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</si>
  <si>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</si>
  <si>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</si>
  <si>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</si>
  <si>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</si>
  <si>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</si>
  <si>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</si>
  <si>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</si>
  <si>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</si>
  <si>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</si>
  <si>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</si>
  <si>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</si>
  <si>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</si>
  <si>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</si>
  <si>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</si>
  <si>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</si>
  <si>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</si>
  <si>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</si>
  <si>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</si>
  <si>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</si>
  <si>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</si>
  <si>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</si>
  <si>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</si>
  <si>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</si>
  <si>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</si>
  <si>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</si>
  <si>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</si>
  <si>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</si>
  <si>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</si>
  <si>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</si>
  <si>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</si>
  <si>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</si>
  <si>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</si>
  <si>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</si>
  <si>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</si>
  <si>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</si>
  <si>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</si>
  <si>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</si>
  <si>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</si>
  <si>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</si>
  <si>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</si>
  <si>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</si>
  <si>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</si>
  <si>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</si>
  <si>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</si>
  <si>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</si>
  <si>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</si>
  <si>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</si>
  <si>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</si>
  <si>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</si>
  <si>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</si>
  <si>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</si>
  <si>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</si>
  <si>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</si>
  <si>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</si>
  <si>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</si>
  <si>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</si>
  <si>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</si>
  <si>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</si>
  <si>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</si>
  <si>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</si>
  <si>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</si>
  <si>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</si>
  <si>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</si>
  <si>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</si>
  <si>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</si>
  <si>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</si>
  <si>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</si>
  <si>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</si>
  <si>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</si>
  <si>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</si>
  <si>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</si>
  <si>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</si>
  <si>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</si>
  <si>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</si>
  <si>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</si>
  <si>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</si>
  <si>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</si>
  <si>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</si>
  <si>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</si>
  <si>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</si>
  <si>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</si>
  <si>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</si>
  <si>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</si>
  <si>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</si>
  <si>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</si>
  <si>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</si>
  <si>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</si>
  <si>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</si>
  <si>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</si>
  <si>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</si>
  <si>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</si>
  <si>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</si>
  <si>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</si>
  <si>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</si>
  <si>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</si>
  <si>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</si>
  <si>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</si>
  <si>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</si>
  <si>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</si>
  <si>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</si>
  <si>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</si>
  <si>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</si>
  <si>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</si>
  <si>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</si>
  <si>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</si>
  <si>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</si>
  <si>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</si>
  <si>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</si>
  <si>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</si>
  <si>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</si>
  <si>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</si>
  <si>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</si>
  <si>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</si>
  <si>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</si>
  <si>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</si>
  <si>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</si>
  <si>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</si>
  <si>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</si>
  <si>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</si>
  <si>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</si>
  <si>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</si>
  <si>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</si>
  <si>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</si>
  <si>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</si>
  <si>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</si>
  <si>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</si>
  <si>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</si>
  <si>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</si>
  <si>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</si>
  <si>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</si>
  <si>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</si>
  <si>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</si>
  <si>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</si>
  <si>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</si>
  <si>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</si>
  <si>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</si>
  <si>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</si>
  <si>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</si>
  <si>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</si>
  <si>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</si>
  <si>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</si>
  <si>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</si>
  <si>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</si>
  <si>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</si>
  <si>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</si>
  <si>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</si>
  <si>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</si>
  <si>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</si>
  <si>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</si>
  <si>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</si>
  <si>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</si>
  <si>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</si>
  <si>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</si>
  <si>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</si>
  <si>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</si>
  <si>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</si>
  <si>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</si>
  <si>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</si>
  <si>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</si>
  <si>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</si>
  <si>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</si>
  <si>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</si>
  <si>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</si>
  <si>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</si>
  <si>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</si>
  <si>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</si>
  <si>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</si>
  <si>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</si>
  <si>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</si>
  <si>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</si>
  <si>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</si>
  <si>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</si>
  <si>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</si>
  <si>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</si>
  <si>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</si>
  <si>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</si>
  <si>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</si>
  <si>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</si>
  <si>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</si>
  <si>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</si>
  <si>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</si>
  <si>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</si>
  <si>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</si>
  <si>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</si>
  <si>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</si>
  <si>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</si>
  <si>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</si>
  <si>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</si>
  <si>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</si>
  <si>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</si>
  <si>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</si>
  <si>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</si>
  <si>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</si>
  <si>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</si>
  <si>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</si>
  <si>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</si>
  <si>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</si>
  <si>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</si>
  <si>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</si>
  <si>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</si>
  <si>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</si>
  <si>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</si>
  <si>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</si>
  <si>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</si>
  <si>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</si>
  <si>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</si>
  <si>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</si>
  <si>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</si>
  <si>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</si>
  <si>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</si>
  <si>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</si>
  <si>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</si>
  <si>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</si>
  <si>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</si>
  <si>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</si>
  <si>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</si>
  <si>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</si>
  <si>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</si>
  <si>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</si>
  <si>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</si>
  <si>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</si>
  <si>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</si>
  <si>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</si>
  <si>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</si>
  <si>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</si>
  <si>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</si>
  <si>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</si>
  <si>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</si>
  <si>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</si>
  <si>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</si>
  <si>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</si>
  <si>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</si>
  <si>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</si>
  <si>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</si>
  <si>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</si>
  <si>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</si>
  <si>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</si>
  <si>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</si>
  <si>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</si>
  <si>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</si>
  <si>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</si>
  <si>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</si>
  <si>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</si>
  <si>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</si>
  <si>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</si>
  <si>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</si>
  <si>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</si>
  <si>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</si>
  <si>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</si>
  <si>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</si>
  <si>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</si>
  <si>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</si>
  <si>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</si>
  <si>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</si>
  <si>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</si>
  <si>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</si>
  <si>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</si>
  <si>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</si>
  <si>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</si>
  <si>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</si>
  <si>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</si>
  <si>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</si>
  <si>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</si>
  <si>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</si>
  <si>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</si>
  <si>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</si>
  <si>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</si>
  <si>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</si>
  <si>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</si>
  <si>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</si>
  <si>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</si>
  <si>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</si>
  <si>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</si>
  <si>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</si>
  <si>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</si>
  <si>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</si>
  <si>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</si>
  <si>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</si>
  <si>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</si>
  <si>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</si>
  <si>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</si>
  <si>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</si>
  <si>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</si>
  <si>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</si>
  <si>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</si>
  <si>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</si>
  <si>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</si>
  <si>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</si>
  <si>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</si>
  <si>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</si>
  <si>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</si>
  <si>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</si>
  <si>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</si>
  <si>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</si>
  <si>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</si>
  <si>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</si>
  <si>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</si>
  <si>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</si>
  <si>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</si>
  <si>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</si>
  <si>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</si>
  <si>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</si>
  <si>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</si>
  <si>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</si>
  <si>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</si>
  <si>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</si>
  <si>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</si>
  <si>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</si>
  <si>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</si>
  <si>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</si>
  <si>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</si>
  <si>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</si>
  <si>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</si>
  <si>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</si>
  <si>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</si>
  <si>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</si>
  <si>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</si>
  <si>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</si>
  <si>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</si>
  <si>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</si>
  <si>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</si>
  <si>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</si>
  <si>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</si>
  <si>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</si>
  <si>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</si>
  <si>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</si>
  <si>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</si>
  <si>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</si>
  <si>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</si>
  <si>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</si>
  <si>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</si>
  <si>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</si>
  <si>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</si>
  <si>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</si>
  <si>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</si>
  <si>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</si>
  <si>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</si>
  <si>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</si>
  <si>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</si>
  <si>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</si>
  <si>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</si>
  <si>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</si>
  <si>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</si>
  <si>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</si>
  <si>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</si>
  <si>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</si>
  <si>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</si>
  <si>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</si>
  <si>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</si>
  <si>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</si>
  <si>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</si>
  <si>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</si>
  <si>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</si>
  <si>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</si>
  <si>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</si>
  <si>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</si>
  <si>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</si>
  <si>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</si>
  <si>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</si>
  <si>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</si>
  <si>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</si>
  <si>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</si>
  <si>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</si>
  <si>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</si>
  <si>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</si>
  <si>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</si>
  <si>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</si>
  <si>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</si>
  <si>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</si>
  <si>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</si>
  <si>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</si>
  <si>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</si>
  <si>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</si>
  <si>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</si>
  <si>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</si>
  <si>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</si>
  <si>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</si>
  <si>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</si>
  <si>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</si>
  <si>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</si>
  <si>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</si>
  <si>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</si>
  <si>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</si>
  <si>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</si>
  <si>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</si>
  <si>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</si>
  <si>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</si>
  <si>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</si>
  <si>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</si>
  <si>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</si>
  <si>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</si>
  <si>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</si>
  <si>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</si>
  <si>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</si>
  <si>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</si>
  <si>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</si>
  <si>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</si>
  <si>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</si>
  <si>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</si>
  <si>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</si>
  <si>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</si>
  <si>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</si>
  <si>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</si>
  <si>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</si>
  <si>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</si>
  <si>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</si>
  <si>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</si>
  <si>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</si>
  <si>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</si>
  <si>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</si>
  <si>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</si>
  <si>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</si>
  <si>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</si>
  <si>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</si>
  <si>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</si>
  <si>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</si>
  <si>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</si>
  <si>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</si>
  <si>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</si>
  <si>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</si>
  <si>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</si>
  <si>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</si>
  <si>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</si>
  <si>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</si>
  <si>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</si>
  <si>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</si>
  <si>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</si>
  <si>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</si>
  <si>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</si>
  <si>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</si>
  <si>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</si>
  <si>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</si>
  <si>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</si>
  <si>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</si>
  <si>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</si>
  <si>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</si>
  <si>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</si>
  <si>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</si>
  <si>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</si>
  <si>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</si>
  <si>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</si>
  <si>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</si>
  <si>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</si>
  <si>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</si>
  <si>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</si>
  <si>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</si>
  <si>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</si>
  <si>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</si>
  <si>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</si>
  <si>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</si>
  <si>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</si>
  <si>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</si>
  <si>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</si>
  <si>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</si>
  <si>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</si>
  <si>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</si>
  <si>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</si>
  <si>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</si>
  <si>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</si>
  <si>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</si>
  <si>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</si>
  <si>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</si>
  <si>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</si>
  <si>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</si>
  <si>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</si>
  <si>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</si>
  <si>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</si>
  <si>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</si>
  <si>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</si>
  <si>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</si>
  <si>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</si>
  <si>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</si>
  <si>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</si>
  <si>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</si>
  <si>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</si>
  <si>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</si>
  <si>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</si>
  <si>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</si>
  <si>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</si>
  <si>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</si>
  <si>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</si>
  <si>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</si>
  <si>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</si>
  <si>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</si>
  <si>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</si>
  <si>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</si>
  <si>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</si>
  <si>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</si>
  <si>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</si>
  <si>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</si>
  <si>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</si>
  <si>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</si>
  <si>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</si>
  <si>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</si>
  <si>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</si>
  <si>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</si>
  <si>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</si>
  <si>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</si>
  <si>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</si>
  <si>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</si>
  <si>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</si>
  <si>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</si>
  <si>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</si>
  <si>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</si>
  <si>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</si>
  <si>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</si>
  <si>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</si>
  <si>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</si>
  <si>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</si>
  <si>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</si>
  <si>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</si>
  <si>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</si>
  <si>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</si>
  <si>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</si>
  <si>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</si>
  <si>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</si>
  <si>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</si>
  <si>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</si>
  <si>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</si>
  <si>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</si>
  <si>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</si>
  <si>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</si>
  <si>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</si>
  <si>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</si>
  <si>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</si>
  <si>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</si>
  <si>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</si>
  <si>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</si>
  <si>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</si>
  <si>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</si>
  <si>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</si>
  <si>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</si>
  <si>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</si>
  <si>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</si>
  <si>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</si>
  <si>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</si>
  <si>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</si>
  <si>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</si>
  <si>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</si>
  <si>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</si>
  <si>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</si>
  <si>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</si>
  <si>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</si>
  <si>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</si>
  <si>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</si>
  <si>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</si>
  <si>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</si>
  <si>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</si>
  <si>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</si>
  <si>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</si>
  <si>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</si>
  <si>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</si>
  <si>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</si>
  <si>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</si>
  <si>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</si>
  <si>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</si>
  <si>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</si>
  <si>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</si>
  <si>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</si>
  <si>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</si>
  <si>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</si>
  <si>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</si>
  <si>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</si>
  <si>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</si>
  <si>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</si>
  <si>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</si>
  <si>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</si>
  <si>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</si>
  <si>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</si>
  <si>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</si>
  <si>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</si>
  <si>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</si>
  <si>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</si>
  <si>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</si>
  <si>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</si>
  <si>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</si>
  <si>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</si>
  <si>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</si>
  <si>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</si>
  <si>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</si>
  <si>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</si>
  <si>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</si>
  <si>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</si>
  <si>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</si>
  <si>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</si>
  <si>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</si>
  <si>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</si>
  <si>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</si>
  <si>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</si>
  <si>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</si>
  <si>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</si>
  <si>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</si>
  <si>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</si>
  <si>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</si>
  <si>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</si>
  <si>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</si>
  <si>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</si>
  <si>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</si>
  <si>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</si>
  <si>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</si>
  <si>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</si>
  <si>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</si>
  <si>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</si>
  <si>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</si>
  <si>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</si>
  <si>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</si>
  <si>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</si>
  <si>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</si>
  <si>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</si>
  <si>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</si>
  <si>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</si>
  <si>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</si>
  <si>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</si>
  <si>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</si>
  <si>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</si>
  <si>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</si>
  <si>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</si>
  <si>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</si>
  <si>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</si>
  <si>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</si>
  <si>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</si>
  <si>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</si>
  <si>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</si>
  <si>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</si>
  <si>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</si>
  <si>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</si>
  <si>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</si>
  <si>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</si>
  <si>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</si>
  <si>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</si>
  <si>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</si>
  <si>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</si>
  <si>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</si>
  <si>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</si>
  <si>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</si>
  <si>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</si>
  <si>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</si>
  <si>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</si>
  <si>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</si>
  <si>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</si>
  <si>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</si>
  <si>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</si>
  <si>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</si>
  <si>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</si>
  <si>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</si>
  <si>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</si>
  <si>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</si>
  <si>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</si>
  <si>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</si>
  <si>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</si>
  <si>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</si>
  <si>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</si>
  <si>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</si>
  <si>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</si>
  <si>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</si>
  <si>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</si>
  <si>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</si>
  <si>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</si>
  <si>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</si>
  <si>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</si>
  <si>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</si>
  <si>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</si>
  <si>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</si>
  <si>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</si>
  <si>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</si>
  <si>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</si>
  <si>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</si>
  <si>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</si>
  <si>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</si>
  <si>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</si>
  <si>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</si>
  <si>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</si>
  <si>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</si>
  <si>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</si>
  <si>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</si>
  <si>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</si>
  <si>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</si>
  <si>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</si>
  <si>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</si>
  <si>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</si>
  <si>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</si>
  <si>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</si>
  <si>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</si>
  <si>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</si>
  <si>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</si>
  <si>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</si>
  <si>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</si>
  <si>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</si>
  <si>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</si>
  <si>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</si>
  <si>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</si>
  <si>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</si>
  <si>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</si>
  <si>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</si>
  <si>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</si>
  <si>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</si>
  <si>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</si>
  <si>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</si>
  <si>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</si>
  <si>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</si>
  <si>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</si>
  <si>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</si>
  <si>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</si>
  <si>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</si>
  <si>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</si>
  <si>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</si>
  <si>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</si>
  <si>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</si>
  <si>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</si>
  <si>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</si>
  <si>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</si>
  <si>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</si>
  <si>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</si>
  <si>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</si>
  <si>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</si>
  <si>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</si>
  <si>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</si>
  <si>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</si>
  <si>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</si>
  <si>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</si>
  <si>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</si>
  <si>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</si>
  <si>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</si>
  <si>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</si>
  <si>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</si>
  <si>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</si>
  <si>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</si>
  <si>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</si>
  <si>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</si>
  <si>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</si>
  <si>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</si>
  <si>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</si>
  <si>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</si>
  <si>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</si>
  <si>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</si>
  <si>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</si>
  <si>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</si>
  <si>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</si>
  <si>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</si>
  <si>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</si>
  <si>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</si>
  <si>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</si>
  <si>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</si>
  <si>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</si>
  <si>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</si>
  <si>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</si>
  <si>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</si>
  <si>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</si>
  <si>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</si>
  <si>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</si>
  <si>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</si>
  <si>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</si>
  <si>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</si>
  <si>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</si>
  <si>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</si>
  <si>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</si>
  <si>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</si>
  <si>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</si>
  <si>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</si>
  <si>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</si>
  <si>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</si>
  <si>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</si>
  <si>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</si>
  <si>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</si>
  <si>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</si>
  <si>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</si>
  <si>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</si>
  <si>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</si>
  <si>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</si>
  <si>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</si>
  <si>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</si>
  <si>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</si>
  <si>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</si>
  <si>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</si>
  <si>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</si>
  <si>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</si>
  <si>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</si>
  <si>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</si>
  <si>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</si>
  <si>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</si>
  <si>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</si>
  <si>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</si>
  <si>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</si>
  <si>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</si>
  <si>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</si>
  <si>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</si>
  <si>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</si>
  <si>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</si>
  <si>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</si>
  <si>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</si>
  <si>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</si>
  <si>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</si>
  <si>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</si>
  <si>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</si>
  <si>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</si>
  <si>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</si>
  <si>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</si>
  <si>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</si>
  <si>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</si>
  <si>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</si>
  <si>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</si>
  <si>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</si>
  <si>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</si>
  <si>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</si>
  <si>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</si>
  <si>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</si>
  <si>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</si>
  <si>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</si>
  <si>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</si>
  <si>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</si>
  <si>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</si>
  <si>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</si>
  <si>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</si>
  <si>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</si>
  <si>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</si>
  <si>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</si>
  <si>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</si>
  <si>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</si>
  <si>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</si>
  <si>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</si>
  <si>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</si>
  <si>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</si>
  <si>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</si>
  <si>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</si>
  <si>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</si>
  <si>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</si>
  <si>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</si>
  <si>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</si>
  <si>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</si>
  <si>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</si>
  <si>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</si>
  <si>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</si>
  <si>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</si>
  <si>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</si>
  <si>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</si>
  <si>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</si>
  <si>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</si>
  <si>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</si>
  <si>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</si>
  <si>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</si>
  <si>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</si>
  <si>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</si>
  <si>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</si>
  <si>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</si>
  <si>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</si>
  <si>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</si>
  <si>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</si>
  <si>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</si>
  <si>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</si>
  <si>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</si>
  <si>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</si>
  <si>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</si>
  <si>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</si>
  <si>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</si>
  <si>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</si>
  <si>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</si>
  <si>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</si>
  <si>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</si>
  <si>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</si>
  <si>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</si>
  <si>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</si>
  <si>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</si>
  <si>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</si>
  <si>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</si>
  <si>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</si>
  <si>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</si>
  <si>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</si>
  <si>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</si>
  <si>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</si>
  <si>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</si>
  <si>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</si>
  <si>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</si>
  <si>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</si>
  <si>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</si>
  <si>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</si>
  <si>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</si>
  <si>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</si>
  <si>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</si>
  <si>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</si>
  <si>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</si>
  <si>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</si>
  <si>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</si>
  <si>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</si>
  <si>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</si>
  <si>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</si>
  <si>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</si>
  <si>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</si>
  <si>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</si>
  <si>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</si>
  <si>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</si>
  <si>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</si>
  <si>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</si>
  <si>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</si>
  <si>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</si>
  <si>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</si>
  <si>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</si>
  <si>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</si>
  <si>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</si>
  <si>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</si>
  <si>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</si>
  <si>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</si>
  <si>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</si>
  <si>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</si>
  <si>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</si>
  <si>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</si>
  <si>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</si>
  <si>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</si>
  <si>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</si>
  <si>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</si>
  <si>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</si>
  <si>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</si>
  <si>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</si>
  <si>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</si>
  <si>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</si>
  <si>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</si>
  <si>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</si>
  <si>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</si>
  <si>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</si>
  <si>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</si>
  <si>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</si>
  <si>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</si>
  <si>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</si>
  <si>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</si>
  <si>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</si>
  <si>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</si>
  <si>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</si>
  <si>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</si>
  <si>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</si>
  <si>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</si>
  <si>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</si>
  <si>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</si>
  <si>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</si>
  <si>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</si>
  <si>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</si>
  <si>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</si>
  <si>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</si>
  <si>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</si>
  <si>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</si>
  <si>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</si>
  <si>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</si>
  <si>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</si>
  <si>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</si>
  <si>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</si>
  <si>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</si>
  <si>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</si>
  <si>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</si>
  <si>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</si>
  <si>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</si>
  <si>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</si>
  <si>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</si>
  <si>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</si>
  <si>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</si>
  <si>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</si>
  <si>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</si>
  <si>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</si>
  <si>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</si>
  <si>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</si>
  <si>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</si>
  <si>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</si>
  <si>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</si>
  <si>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</si>
  <si>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</si>
  <si>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</si>
  <si>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</si>
  <si>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</si>
  <si>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</si>
  <si>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</si>
  <si>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</si>
  <si>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</si>
  <si>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</si>
  <si>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</si>
  <si>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</si>
  <si>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</si>
  <si>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</si>
  <si>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</si>
  <si>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</si>
  <si>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</si>
  <si>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</si>
  <si>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</si>
  <si>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</si>
  <si>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</si>
  <si>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</si>
  <si>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</si>
  <si>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</si>
  <si>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</si>
  <si>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</si>
  <si>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</si>
  <si>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</si>
  <si>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</si>
  <si>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</si>
  <si>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</si>
  <si>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</si>
  <si>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</si>
  <si>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</si>
  <si>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</si>
  <si>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</si>
  <si>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</si>
  <si>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</si>
  <si>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</si>
  <si>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</si>
  <si>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</si>
  <si>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</si>
  <si>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</si>
  <si>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</si>
  <si>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</si>
  <si>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</si>
  <si>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</si>
  <si>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</si>
  <si>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</si>
  <si>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</si>
  <si>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</si>
  <si>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</si>
  <si>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</si>
  <si>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</si>
  <si>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</si>
  <si>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</si>
  <si>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</si>
  <si>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</si>
  <si>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</si>
  <si>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</si>
  <si>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</si>
  <si>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</si>
  <si>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</si>
  <si>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</si>
  <si>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</si>
  <si>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</si>
  <si>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</si>
  <si>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</si>
  <si>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</si>
  <si>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</si>
  <si>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</si>
  <si>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</si>
  <si>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</si>
  <si>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</si>
  <si>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</si>
  <si>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</si>
  <si>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</si>
  <si>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</si>
  <si>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</si>
  <si>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</si>
  <si>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</si>
  <si>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</si>
  <si>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</si>
  <si>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</si>
  <si>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</si>
  <si>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</si>
  <si>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</si>
  <si>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</si>
  <si>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</si>
  <si>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</si>
  <si>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</si>
  <si>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</si>
  <si>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</si>
  <si>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</si>
  <si>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</si>
  <si>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</si>
  <si>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</si>
  <si>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</si>
  <si>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</si>
  <si>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</si>
  <si>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</si>
  <si>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</si>
  <si>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</si>
  <si>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</si>
  <si>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</si>
  <si>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</si>
  <si>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</si>
  <si>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</si>
  <si>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</si>
  <si>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</si>
  <si>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</si>
  <si>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</si>
  <si>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</si>
  <si>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</si>
  <si>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</si>
  <si>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</si>
  <si>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</si>
  <si>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</si>
  <si>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</si>
  <si>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</si>
  <si>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</si>
  <si>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</si>
  <si>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</si>
  <si>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</si>
  <si>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</si>
  <si>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</si>
  <si>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</si>
  <si>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</si>
  <si>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</si>
  <si>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</si>
  <si>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</si>
  <si>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</si>
  <si>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</si>
  <si>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</si>
  <si>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</si>
  <si>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</si>
  <si>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</si>
  <si>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</si>
  <si>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</si>
  <si>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</si>
  <si>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</si>
  <si>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</si>
  <si>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</si>
  <si>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</si>
  <si>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</si>
  <si>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</si>
  <si>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</si>
  <si>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</si>
  <si>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</si>
  <si>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</si>
  <si>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</si>
  <si>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</si>
  <si>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</si>
  <si>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</si>
  <si>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</si>
  <si>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</si>
  <si>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</si>
  <si>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</si>
  <si>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</si>
  <si>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</si>
  <si>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</si>
  <si>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</si>
  <si>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</si>
  <si>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</si>
  <si>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</si>
  <si>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</si>
  <si>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</si>
  <si>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</si>
  <si>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</si>
  <si>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</si>
  <si>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</si>
  <si>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</si>
  <si>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</si>
  <si>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</si>
  <si>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</si>
  <si>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</si>
  <si>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</si>
  <si>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</si>
  <si>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</si>
  <si>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</si>
  <si>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</si>
  <si>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</si>
  <si>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</si>
  <si>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</si>
  <si>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</si>
  <si>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</si>
  <si>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</si>
  <si>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</si>
  <si>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</si>
  <si>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</si>
  <si>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</si>
  <si>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</si>
  <si>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</si>
  <si>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</si>
  <si>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</si>
  <si>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</si>
  <si>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</si>
  <si>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</si>
  <si>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</si>
  <si>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</si>
  <si>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</si>
  <si>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</si>
  <si>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</si>
  <si>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</si>
  <si>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</si>
  <si>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</si>
  <si>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</si>
  <si>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</si>
  <si>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</si>
  <si>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</si>
  <si>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</si>
  <si>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</si>
  <si>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</si>
  <si>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</si>
  <si>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</si>
  <si>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</si>
  <si>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</si>
  <si>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</si>
  <si>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</si>
  <si>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</si>
  <si>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</si>
  <si>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</si>
  <si>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</si>
  <si>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</si>
  <si>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</si>
  <si>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</si>
  <si>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</si>
  <si>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</si>
  <si>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</si>
  <si>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</si>
  <si>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</si>
  <si>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</si>
  <si>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</si>
  <si>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</si>
  <si>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</si>
  <si>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</si>
  <si>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</si>
  <si>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</si>
  <si>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</si>
  <si>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</si>
  <si>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</si>
  <si>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</si>
  <si>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</si>
  <si>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</si>
  <si>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</si>
  <si>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</si>
  <si>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</si>
  <si>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</si>
  <si>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</si>
  <si>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</si>
  <si>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</si>
  <si>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</si>
  <si>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</si>
  <si>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</si>
  <si>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</si>
  <si>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</si>
  <si>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</si>
  <si>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</si>
  <si>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</si>
  <si>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</si>
  <si>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</si>
  <si>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</si>
  <si>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</si>
  <si>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</si>
  <si>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</si>
  <si>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</si>
  <si>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</si>
  <si>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</si>
  <si>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</si>
  <si>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</si>
  <si>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</si>
  <si>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</si>
  <si>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</si>
  <si>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</si>
  <si>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</si>
  <si>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</si>
  <si>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</si>
  <si>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</si>
  <si>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</si>
  <si>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</si>
  <si>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</si>
  <si>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</si>
  <si>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</si>
  <si>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</si>
  <si>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</si>
  <si>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</si>
  <si>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</si>
  <si>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</si>
  <si>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</si>
  <si>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</si>
  <si>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</si>
  <si>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</si>
  <si>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</si>
  <si>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</si>
  <si>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</si>
  <si>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</si>
  <si>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</si>
  <si>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</si>
  <si>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</si>
  <si>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</si>
  <si>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</si>
  <si>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</si>
  <si>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</si>
  <si>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</si>
  <si>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</si>
  <si>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</si>
  <si>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</si>
  <si>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</si>
  <si>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</si>
  <si>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</si>
  <si>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</si>
  <si>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</si>
  <si>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</si>
  <si>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</si>
  <si>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</si>
  <si>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</si>
  <si>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</si>
  <si>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</si>
  <si>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</si>
  <si>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</si>
  <si>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</si>
  <si>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</si>
  <si>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</si>
  <si>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</si>
  <si>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</si>
  <si>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</si>
  <si>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</si>
  <si>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</si>
  <si>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</si>
  <si>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</si>
  <si>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</si>
  <si>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</si>
  <si>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</si>
  <si>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</si>
  <si>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</si>
  <si>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</si>
  <si>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</si>
  <si>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</si>
  <si>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</si>
  <si>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</si>
  <si>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</si>
  <si>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</si>
  <si>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</si>
  <si>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</si>
  <si>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</si>
  <si>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</si>
  <si>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</si>
  <si>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</si>
  <si>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</si>
  <si>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</si>
  <si>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</si>
  <si>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</si>
  <si>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</si>
  <si>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</si>
  <si>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</si>
  <si>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</si>
  <si>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</si>
  <si>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</si>
  <si>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</si>
  <si>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</si>
  <si>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</si>
  <si>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</si>
  <si>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</si>
  <si>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</si>
  <si>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</si>
  <si>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</si>
  <si>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</si>
  <si>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</si>
  <si>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</si>
  <si>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</si>
  <si>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</si>
  <si>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</si>
  <si>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</si>
  <si>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</si>
  <si>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</si>
  <si>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</si>
  <si>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</si>
  <si>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</si>
  <si>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</si>
  <si>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</si>
  <si>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</si>
  <si>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</si>
  <si>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</si>
  <si>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</si>
  <si>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</si>
  <si>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</si>
  <si>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</si>
  <si>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</si>
  <si>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</si>
  <si>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</si>
  <si>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</si>
  <si>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</si>
  <si>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</si>
  <si>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</si>
  <si>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</si>
  <si>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</si>
  <si>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</si>
  <si>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</si>
  <si>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</si>
  <si>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</si>
  <si>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</si>
  <si>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</si>
  <si>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</si>
  <si>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</si>
  <si>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</si>
  <si>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</si>
  <si>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</si>
  <si>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</si>
  <si>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</si>
  <si>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</si>
  <si>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</si>
  <si>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</si>
  <si>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</si>
  <si>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</si>
  <si>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</si>
  <si>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</si>
  <si>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</si>
  <si>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</si>
  <si>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</si>
  <si>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</si>
  <si>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</si>
  <si>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</si>
  <si>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</si>
  <si>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</si>
  <si>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</si>
  <si>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</si>
  <si>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</si>
  <si>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</si>
  <si>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</si>
  <si>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</si>
  <si>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</si>
  <si>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</si>
  <si>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</si>
  <si>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</si>
  <si>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</si>
  <si>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</si>
  <si>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</si>
  <si>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</si>
  <si>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</si>
  <si>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</si>
  <si>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</si>
  <si>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</si>
  <si>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</si>
  <si>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</si>
  <si>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</si>
  <si>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</si>
  <si>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</si>
  <si>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</si>
  <si>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</si>
  <si>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</si>
  <si>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</si>
  <si>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</si>
  <si>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</si>
  <si>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</si>
  <si>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</si>
  <si>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</si>
  <si>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</si>
  <si>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</si>
  <si>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</si>
  <si>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</si>
  <si>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</si>
  <si>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</si>
  <si>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</si>
  <si>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</si>
  <si>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</si>
  <si>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</si>
  <si>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</si>
  <si>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</si>
  <si>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</si>
  <si>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</si>
  <si>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</si>
  <si>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</si>
  <si>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</si>
  <si>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</si>
  <si>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</si>
  <si>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</si>
  <si>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</si>
  <si>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</si>
  <si>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</si>
  <si>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</si>
  <si>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</si>
  <si>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</si>
  <si>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</si>
  <si>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</si>
  <si>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</si>
  <si>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</si>
  <si>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</si>
  <si>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</si>
  <si>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</si>
  <si>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</si>
  <si>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</si>
  <si>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</si>
  <si>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</si>
  <si>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</si>
  <si>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</si>
  <si>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</si>
  <si>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</si>
  <si>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</si>
  <si>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</si>
  <si>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</si>
  <si>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</si>
  <si>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</si>
  <si>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</si>
  <si>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</si>
  <si>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</si>
  <si>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</si>
  <si>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</si>
  <si>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</si>
  <si>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</si>
  <si>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</si>
  <si>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</si>
  <si>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</si>
  <si>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</si>
  <si>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</si>
  <si>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</si>
  <si>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</si>
  <si>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</si>
  <si>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</si>
  <si>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</si>
  <si>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</si>
  <si>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</si>
  <si>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</si>
  <si>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</si>
  <si>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</si>
  <si>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</si>
  <si>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</si>
  <si>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</si>
  <si>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</si>
  <si>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</si>
  <si>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</si>
  <si>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</si>
  <si>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</si>
  <si>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</si>
  <si>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</si>
  <si>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</si>
  <si>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</si>
  <si>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</si>
  <si>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</si>
  <si>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</si>
  <si>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</si>
  <si>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</si>
  <si>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</si>
  <si>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</si>
  <si>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</si>
  <si>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</si>
  <si>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</si>
  <si>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</si>
  <si>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</si>
  <si>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</si>
  <si>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</si>
  <si>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</si>
  <si>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</si>
  <si>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</si>
  <si>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</si>
  <si>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</si>
  <si>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</si>
  <si>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</si>
  <si>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</si>
  <si>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</si>
  <si>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</si>
  <si>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</si>
  <si>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</si>
  <si>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</si>
  <si>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</si>
  <si>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</si>
  <si>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</si>
  <si>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</si>
  <si>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</si>
  <si>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</si>
  <si>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</si>
  <si>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</si>
  <si>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</si>
  <si>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</si>
  <si>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</si>
  <si>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</si>
  <si>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</si>
  <si>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</si>
  <si>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</si>
  <si>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</si>
  <si>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</si>
  <si>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</si>
  <si>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</si>
  <si>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</si>
  <si>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</si>
  <si>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</si>
  <si>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</si>
  <si>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</si>
  <si>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</si>
  <si>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</si>
  <si>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</si>
  <si>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</si>
  <si>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</si>
  <si>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</si>
  <si>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</si>
  <si>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</si>
  <si>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</si>
  <si>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</si>
  <si>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</si>
  <si>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</si>
  <si>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</si>
  <si>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</si>
  <si>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</si>
  <si>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</si>
  <si>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</si>
  <si>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</si>
  <si>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</si>
  <si>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</si>
  <si>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</si>
  <si>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</si>
  <si>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</si>
  <si>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</si>
  <si>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</si>
  <si>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</si>
  <si>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</si>
  <si>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</si>
  <si>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</si>
  <si>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</si>
  <si>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</si>
  <si>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</si>
  <si>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</si>
  <si>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</si>
  <si>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</si>
  <si>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</si>
  <si>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</si>
  <si>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</si>
  <si>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</si>
  <si>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</si>
  <si>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</si>
  <si>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</si>
  <si>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</si>
  <si>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</si>
  <si>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</si>
  <si>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</si>
  <si>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</si>
  <si>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</si>
  <si>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</si>
  <si>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</si>
  <si>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</si>
  <si>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</si>
  <si>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</si>
  <si>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</si>
  <si>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</si>
  <si>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</si>
  <si>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</si>
  <si>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</si>
  <si>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</si>
  <si>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</si>
  <si>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</si>
  <si>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</si>
  <si>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</si>
  <si>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</si>
  <si>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</si>
  <si>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</si>
  <si>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</si>
  <si>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</si>
  <si>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</si>
  <si>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</si>
  <si>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</si>
  <si>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</si>
  <si>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</si>
  <si>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</si>
  <si>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</si>
  <si>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</si>
  <si>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</si>
  <si>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</si>
  <si>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</si>
  <si>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</si>
  <si>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</si>
  <si>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</si>
  <si>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</si>
  <si>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</si>
  <si>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</si>
  <si>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</si>
  <si>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</si>
  <si>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</si>
  <si>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</si>
  <si>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</si>
  <si>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</si>
  <si>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</si>
  <si>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</si>
  <si>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</si>
  <si>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</si>
  <si>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</si>
  <si>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</si>
  <si>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</si>
  <si>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</si>
  <si>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</si>
  <si>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</si>
  <si>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</si>
  <si>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</si>
  <si>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</si>
  <si>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</si>
  <si>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</si>
  <si>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</si>
  <si>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</si>
  <si>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</si>
  <si>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</si>
  <si>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</si>
  <si>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</si>
  <si>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</si>
  <si>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</si>
  <si>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</si>
  <si>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</si>
  <si>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</si>
  <si>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</si>
  <si>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</si>
  <si>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</si>
  <si>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</si>
  <si>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</si>
  <si>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</si>
  <si>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</si>
  <si>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</si>
  <si>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</si>
  <si>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</si>
  <si>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</si>
  <si>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</si>
  <si>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</si>
  <si>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</si>
  <si>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</si>
  <si>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</si>
  <si>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</si>
  <si>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</si>
  <si>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</si>
  <si>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</si>
  <si>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</si>
  <si>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</si>
  <si>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</si>
  <si>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</si>
  <si>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</si>
  <si>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</si>
  <si>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</si>
  <si>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</si>
  <si>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</si>
  <si>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</si>
  <si>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</si>
  <si>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</si>
  <si>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</si>
  <si>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</si>
  <si>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</si>
  <si>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</si>
  <si>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</si>
  <si>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</si>
  <si>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</si>
  <si>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</si>
  <si>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</si>
  <si>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</si>
  <si>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</si>
  <si>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</si>
  <si>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</si>
  <si>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</si>
  <si>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</si>
  <si>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</si>
  <si>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</si>
  <si>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</si>
  <si>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</si>
  <si>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</si>
  <si>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</si>
  <si>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</si>
  <si>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</si>
  <si>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</si>
  <si>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</si>
  <si>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</si>
  <si>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</si>
  <si>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</si>
  <si>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</si>
  <si>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</si>
  <si>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</si>
  <si>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</si>
  <si>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</si>
  <si>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</si>
  <si>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</si>
  <si>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</si>
  <si>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</si>
  <si>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</si>
  <si>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</si>
  <si>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</si>
  <si>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</si>
  <si>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</si>
  <si>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</si>
  <si>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</si>
  <si>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</si>
  <si>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</si>
  <si>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</si>
  <si>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</si>
  <si>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</si>
  <si>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</si>
  <si>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</si>
  <si>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</si>
  <si>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</si>
  <si>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</si>
  <si>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</si>
  <si>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</si>
  <si>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</si>
  <si>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</si>
  <si>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</si>
  <si>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</si>
  <si>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</si>
  <si>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</si>
  <si>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</si>
  <si>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</si>
  <si>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</si>
  <si>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</si>
  <si>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</si>
  <si>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</si>
  <si>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</si>
  <si>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</si>
  <si>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</si>
  <si>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</si>
  <si>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</si>
  <si>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</si>
  <si>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</si>
  <si>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</si>
  <si>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</si>
  <si>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</si>
  <si>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</si>
  <si>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</si>
  <si>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</si>
  <si>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</si>
  <si>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</si>
  <si>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</si>
  <si>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</si>
  <si>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</si>
  <si>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</si>
  <si>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</si>
  <si>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</si>
  <si>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</si>
  <si>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</si>
  <si>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</si>
  <si>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</si>
  <si>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</si>
  <si>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</si>
  <si>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</si>
  <si>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</si>
  <si>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</si>
  <si>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</si>
  <si>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</si>
  <si>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</si>
  <si>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</si>
  <si>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</si>
  <si>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</si>
  <si>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</si>
  <si>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</si>
  <si>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</si>
  <si>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</si>
  <si>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</si>
  <si>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</si>
  <si>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</si>
  <si>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</si>
  <si>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</si>
  <si>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</si>
  <si>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</si>
  <si>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</si>
  <si>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</si>
  <si>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</si>
  <si>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</si>
  <si>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</si>
  <si>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</si>
  <si>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</si>
  <si>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</si>
  <si>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</si>
  <si>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</si>
  <si>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</si>
  <si>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</si>
  <si>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</si>
  <si>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</si>
  <si>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</si>
  <si>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</si>
  <si>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</si>
  <si>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</si>
  <si>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</si>
  <si>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</si>
  <si>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</si>
  <si>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</si>
  <si>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</si>
  <si>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</si>
  <si>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</si>
  <si>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</si>
  <si>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</si>
  <si>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</si>
  <si>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</si>
  <si>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</si>
  <si>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</si>
  <si>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</si>
  <si>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</si>
  <si>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</si>
  <si>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</si>
  <si>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</si>
  <si>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</si>
  <si>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</si>
  <si>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</si>
  <si>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</si>
  <si>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</si>
  <si>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</si>
  <si>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</si>
  <si>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</si>
  <si>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</si>
  <si>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</si>
  <si>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</si>
  <si>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</si>
  <si>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</si>
  <si>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</si>
  <si>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</si>
  <si>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</si>
  <si>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</si>
  <si>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</si>
  <si>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</si>
  <si>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</si>
  <si>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</si>
  <si>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</si>
  <si>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</si>
  <si>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</si>
  <si>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</si>
  <si>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</si>
  <si>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</si>
  <si>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</si>
  <si>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</si>
  <si>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</si>
  <si>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</si>
  <si>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</si>
  <si>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</si>
  <si>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</si>
  <si>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</si>
  <si>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</si>
  <si>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</si>
  <si>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</si>
  <si>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</si>
  <si>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</si>
  <si>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</si>
  <si>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</si>
  <si>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</si>
  <si>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</si>
  <si>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</si>
  <si>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</si>
  <si>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</si>
  <si>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</si>
  <si>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</si>
  <si>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</si>
  <si>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</si>
  <si>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</si>
  <si>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</si>
  <si>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</si>
  <si>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</si>
  <si>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</si>
  <si>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</si>
  <si>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</si>
  <si>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</si>
  <si>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</si>
  <si>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</si>
  <si>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</si>
  <si>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</si>
  <si>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</si>
  <si>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</si>
  <si>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</si>
  <si>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</si>
  <si>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</si>
  <si>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</si>
  <si>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</si>
  <si>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</si>
  <si>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</si>
  <si>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</si>
  <si>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</si>
  <si>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</si>
  <si>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</si>
  <si>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</si>
  <si>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</si>
  <si>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</si>
  <si>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</si>
  <si>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</si>
  <si>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</si>
  <si>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</si>
  <si>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</si>
  <si>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</si>
  <si>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</si>
  <si>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</si>
  <si>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</si>
  <si>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</si>
  <si>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</si>
  <si>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</si>
  <si>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</si>
  <si>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</si>
  <si>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</si>
  <si>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</si>
  <si>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</si>
  <si>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</si>
  <si>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</si>
  <si>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</si>
  <si>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</si>
  <si>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</si>
  <si>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</si>
  <si>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</si>
  <si>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</si>
  <si>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</si>
  <si>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</si>
  <si>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</si>
  <si>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</si>
  <si>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</si>
  <si>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</si>
  <si>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</si>
  <si>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</si>
  <si>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</si>
  <si>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</si>
  <si>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</si>
  <si>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</si>
  <si>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</si>
  <si>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</si>
  <si>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</si>
  <si>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</si>
  <si>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</si>
  <si>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</si>
  <si>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</si>
  <si>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</si>
  <si>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</si>
  <si>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</si>
  <si>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</si>
  <si>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</si>
  <si>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</si>
  <si>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</si>
  <si>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</si>
  <si>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</si>
  <si>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</si>
  <si>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</si>
  <si>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</si>
  <si>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</si>
  <si>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</si>
  <si>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</si>
  <si>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</si>
  <si>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</si>
  <si>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</si>
  <si>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</si>
  <si>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</si>
  <si>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</si>
  <si>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</si>
  <si>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</si>
  <si>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</si>
  <si>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</si>
  <si>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</si>
  <si>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</si>
  <si>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</si>
  <si>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</si>
  <si>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</si>
  <si>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</si>
  <si>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</si>
  <si>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</si>
  <si>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</si>
  <si>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</si>
  <si>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</si>
  <si>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</si>
  <si>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</si>
  <si>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</si>
  <si>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</si>
  <si>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</si>
  <si>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</si>
  <si>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</si>
  <si>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</si>
  <si>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</si>
  <si>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</si>
  <si>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</si>
  <si>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</si>
  <si>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</si>
  <si>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</si>
  <si>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</si>
  <si>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</si>
  <si>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</si>
  <si>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</si>
  <si>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</si>
  <si>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</si>
  <si>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</si>
  <si>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</si>
  <si>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</si>
  <si>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</si>
  <si>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</si>
  <si>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</si>
  <si>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</si>
  <si>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</si>
  <si>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</si>
  <si>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</si>
  <si>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</si>
  <si>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</si>
  <si>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</si>
  <si>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</si>
  <si>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</si>
  <si>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</si>
  <si>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</si>
  <si>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</si>
  <si>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</si>
  <si>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</si>
  <si>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</si>
  <si>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</si>
  <si>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</si>
  <si>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</si>
  <si>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</si>
  <si>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</si>
  <si>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</si>
  <si>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</si>
  <si>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</si>
  <si>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</si>
  <si>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</si>
  <si>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</si>
  <si>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</si>
  <si>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</si>
  <si>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</si>
  <si>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</si>
  <si>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</si>
  <si>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</si>
  <si>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</si>
  <si>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</si>
  <si>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</si>
  <si>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</si>
  <si>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</si>
  <si>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</si>
  <si>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</si>
  <si>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</si>
  <si>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</si>
  <si>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</si>
  <si>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</si>
  <si>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</si>
  <si>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</si>
  <si>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</si>
  <si>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</si>
  <si>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</si>
  <si>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</si>
  <si>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</si>
  <si>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</si>
  <si>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</si>
  <si>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</si>
  <si>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</si>
  <si>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</si>
  <si>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</si>
  <si>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</si>
  <si>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</si>
  <si>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</si>
  <si>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</si>
  <si>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</si>
  <si>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</si>
  <si>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</si>
  <si>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</si>
  <si>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</si>
  <si>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</si>
  <si>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</si>
  <si>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</si>
  <si>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</si>
  <si>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</si>
  <si>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</si>
  <si>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</si>
  <si>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</si>
  <si>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</si>
  <si>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</si>
  <si>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</si>
  <si>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</si>
  <si>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</si>
  <si>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</si>
  <si>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</si>
  <si>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</si>
  <si>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</si>
  <si>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</si>
  <si>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</si>
  <si>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</si>
  <si>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</si>
  <si>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</si>
  <si>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</si>
  <si>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</si>
  <si>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</si>
  <si>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</si>
  <si>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</si>
  <si>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</si>
  <si>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</si>
  <si>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</si>
  <si>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</si>
  <si>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</si>
  <si>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</si>
  <si>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</si>
  <si>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</si>
  <si>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</si>
  <si>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</si>
  <si>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</si>
  <si>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</si>
  <si>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</si>
  <si>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</si>
  <si>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</si>
  <si>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</si>
  <si>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</si>
  <si>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</si>
  <si>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</si>
  <si>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</si>
  <si>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</si>
  <si>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</si>
  <si>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</si>
  <si>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</si>
  <si>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</si>
  <si>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</si>
  <si>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</si>
  <si>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</si>
  <si>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</si>
  <si>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</si>
  <si>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</si>
  <si>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</si>
  <si>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</si>
  <si>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</si>
  <si>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</si>
  <si>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</si>
  <si>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</si>
  <si>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</si>
  <si>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</si>
  <si>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</si>
  <si>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</si>
  <si>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</si>
  <si>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</si>
  <si>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</si>
  <si>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</si>
  <si>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</si>
  <si>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</si>
  <si>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</si>
  <si>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</si>
  <si>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</si>
  <si>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</si>
  <si>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</si>
  <si>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</si>
  <si>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</si>
  <si>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</si>
  <si>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</si>
  <si>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</si>
  <si>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</si>
  <si>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</si>
  <si>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</si>
  <si>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</si>
  <si>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</si>
  <si>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</si>
  <si>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</si>
  <si>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</si>
  <si>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</si>
  <si>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</si>
  <si>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</si>
  <si>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</si>
  <si>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</si>
  <si>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</si>
  <si>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</si>
  <si>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</si>
  <si>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</si>
  <si>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</si>
  <si>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</si>
  <si>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</si>
  <si>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</si>
  <si>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</si>
  <si>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</si>
  <si>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</si>
  <si>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</si>
  <si>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</si>
  <si>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</si>
  <si>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</si>
  <si>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</si>
  <si>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</si>
  <si>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</si>
  <si>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</si>
  <si>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</si>
  <si>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</si>
  <si>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</si>
  <si>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</si>
  <si>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</si>
  <si>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</si>
  <si>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</si>
  <si>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</si>
  <si>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</si>
  <si>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</si>
  <si>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</si>
  <si>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</si>
  <si>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</si>
  <si>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</si>
  <si>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</si>
  <si>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</si>
  <si>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</si>
  <si>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</si>
  <si>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</si>
  <si>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</si>
  <si>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</si>
  <si>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</si>
  <si>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</si>
  <si>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</si>
  <si>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</si>
  <si>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</si>
  <si>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</si>
  <si>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</si>
  <si>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</si>
  <si>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</si>
  <si>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</si>
  <si>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</si>
  <si>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</si>
  <si>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</si>
  <si>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</si>
  <si>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</si>
  <si>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</si>
  <si>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</si>
  <si>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</si>
  <si>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</si>
  <si>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</si>
  <si>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</si>
  <si>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</si>
  <si>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</si>
  <si>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</si>
  <si>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</si>
  <si>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</si>
  <si>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</si>
  <si>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</si>
  <si>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</si>
  <si>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</si>
  <si>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</si>
  <si>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</si>
  <si>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</si>
  <si>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</si>
  <si>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</si>
  <si>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</si>
  <si>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</si>
  <si>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</si>
  <si>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</si>
  <si>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</si>
  <si>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</si>
  <si>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</si>
  <si>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</si>
  <si>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</si>
  <si>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</si>
  <si>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</si>
  <si>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</si>
  <si>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</si>
  <si>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</si>
  <si>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</si>
  <si>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</si>
  <si>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</si>
  <si>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</si>
  <si>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</si>
  <si>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</si>
  <si>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</si>
  <si>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</si>
  <si>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</si>
  <si>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</si>
  <si>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</si>
  <si>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</si>
  <si>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</si>
  <si>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</si>
  <si>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</si>
  <si>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</si>
  <si>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</si>
  <si>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</si>
  <si>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</si>
  <si>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</si>
  <si>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</si>
  <si>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</si>
  <si>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</si>
  <si>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</si>
  <si>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</si>
  <si>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</si>
  <si>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</si>
  <si>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</si>
  <si>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</si>
  <si>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</si>
  <si>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</si>
  <si>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</si>
  <si>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</si>
  <si>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</si>
  <si>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</si>
  <si>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</si>
  <si>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</si>
  <si>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</si>
  <si>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</si>
  <si>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</si>
  <si>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</si>
  <si>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</si>
  <si>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</si>
  <si>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</si>
  <si>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</si>
  <si>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</si>
  <si>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</si>
  <si>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</si>
  <si>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</si>
  <si>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</si>
  <si>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</si>
  <si>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</si>
  <si>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</si>
  <si>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</si>
  <si>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</si>
  <si>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</si>
  <si>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</si>
  <si>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</si>
  <si>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</si>
  <si>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</si>
  <si>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</si>
  <si>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</si>
  <si>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</si>
  <si>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</si>
  <si>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</si>
  <si>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</si>
  <si>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</si>
  <si>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</si>
  <si>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</si>
  <si>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</si>
  <si>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</si>
  <si>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</si>
  <si>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</si>
  <si>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</si>
  <si>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</si>
  <si>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</si>
  <si>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</si>
  <si>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</si>
  <si>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</si>
  <si>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</si>
  <si>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</si>
  <si>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</si>
  <si>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</si>
  <si>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</si>
  <si>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</si>
  <si>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</si>
  <si>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</si>
  <si>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</si>
  <si>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</si>
  <si>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</si>
  <si>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</si>
  <si>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</si>
  <si>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</si>
  <si>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</si>
  <si>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</si>
  <si>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</si>
  <si>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</si>
  <si>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</si>
  <si>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</si>
  <si>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</si>
  <si>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</si>
  <si>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</si>
  <si>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</si>
  <si>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</si>
  <si>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</si>
  <si>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</si>
  <si>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</si>
  <si>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</si>
  <si>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</si>
  <si>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</si>
  <si>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</si>
  <si>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</si>
  <si>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</si>
  <si>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</si>
  <si>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</si>
  <si>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</si>
  <si>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</si>
  <si>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</si>
  <si>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</si>
  <si>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</si>
  <si>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</si>
  <si>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</si>
  <si>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</si>
  <si>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</si>
  <si>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</si>
  <si>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</si>
  <si>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</si>
  <si>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</si>
  <si>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</si>
  <si>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</si>
  <si>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</si>
  <si>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</si>
  <si>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</si>
  <si>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</si>
  <si>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</si>
  <si>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</si>
  <si>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</si>
  <si>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</si>
  <si>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</si>
  <si>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</si>
  <si>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</si>
  <si>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</si>
  <si>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</si>
  <si>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</si>
  <si>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</si>
  <si>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</si>
  <si>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</si>
  <si>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</si>
  <si>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</si>
  <si>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</si>
  <si>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</si>
  <si>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</si>
  <si>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</si>
  <si>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</si>
  <si>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</si>
  <si>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</si>
  <si>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</si>
  <si>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</si>
  <si>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</si>
  <si>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</si>
  <si>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</si>
  <si>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</si>
  <si>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</si>
  <si>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</si>
  <si>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</si>
  <si>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</si>
  <si>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</si>
  <si>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</si>
  <si>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</si>
  <si>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</si>
  <si>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</si>
  <si>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</si>
  <si>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</si>
  <si>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</si>
  <si>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</si>
  <si>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</si>
  <si>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</si>
  <si>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</si>
  <si>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</si>
  <si>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</si>
  <si>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</si>
  <si>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</si>
  <si>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</si>
  <si>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</si>
  <si>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</si>
  <si>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</si>
  <si>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</si>
  <si>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</si>
  <si>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</si>
  <si>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</si>
  <si>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</si>
  <si>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</si>
  <si>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</si>
  <si>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</si>
  <si>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</si>
  <si>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</si>
  <si>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</si>
  <si>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</si>
  <si>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</si>
  <si>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</si>
  <si>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</si>
  <si>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</si>
  <si>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</si>
  <si>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</si>
  <si>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</si>
  <si>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</si>
  <si>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</si>
  <si>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</si>
  <si>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</si>
  <si>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</si>
  <si>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</si>
  <si>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</si>
  <si>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</si>
  <si>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</si>
  <si>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</si>
  <si>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</si>
  <si>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</si>
  <si>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</si>
  <si>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</si>
  <si>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</si>
  <si>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</si>
  <si>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</si>
  <si>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</si>
  <si>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</si>
  <si>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</si>
  <si>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</si>
  <si>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</si>
  <si>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</si>
  <si>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</si>
  <si>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</si>
  <si>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</si>
  <si>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</si>
  <si>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</si>
  <si>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</si>
  <si>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</si>
  <si>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</si>
  <si>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</si>
  <si>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</si>
  <si>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</si>
  <si>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</si>
  <si>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</si>
  <si>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</si>
  <si>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</si>
  <si>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</si>
  <si>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</si>
  <si>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</si>
  <si>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</si>
  <si>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</si>
  <si>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</si>
  <si>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</si>
  <si>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</si>
  <si>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</si>
  <si>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</si>
  <si>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</si>
  <si>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</si>
  <si>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</si>
  <si>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</si>
  <si>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</si>
  <si>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</si>
  <si>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</si>
  <si>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</si>
  <si>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</si>
  <si>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</si>
  <si>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</si>
  <si>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</si>
  <si>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</si>
  <si>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</si>
  <si>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</si>
  <si>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</si>
  <si>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</si>
  <si>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</si>
  <si>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</si>
  <si>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</si>
  <si>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</si>
  <si>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</si>
  <si>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</si>
  <si>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</si>
  <si>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</si>
  <si>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</si>
  <si>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</si>
  <si>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</si>
  <si>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</si>
  <si>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</si>
  <si>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</si>
  <si>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</si>
  <si>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</si>
  <si>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</si>
  <si>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</si>
  <si>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</si>
  <si>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</si>
  <si>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</si>
  <si>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</si>
  <si>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</si>
  <si>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</si>
  <si>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</si>
  <si>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</si>
  <si>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</si>
  <si>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</si>
  <si>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</si>
  <si>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</si>
  <si>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</si>
  <si>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</si>
  <si>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</si>
  <si>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</si>
  <si>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</si>
  <si>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</si>
  <si>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</si>
  <si>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</si>
  <si>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</si>
  <si>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</si>
  <si>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</si>
  <si>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</si>
  <si>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</si>
  <si>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</si>
  <si>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</si>
  <si>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</si>
  <si>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</si>
  <si>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</si>
  <si>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</si>
  <si>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</si>
  <si>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</si>
  <si>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</si>
  <si>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</si>
  <si>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</si>
  <si>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</si>
  <si>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</si>
  <si>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</si>
  <si>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</si>
  <si>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</si>
  <si>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</si>
  <si>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</si>
  <si>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</si>
  <si>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</si>
  <si>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</si>
  <si>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</si>
  <si>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</si>
  <si>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</si>
  <si>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</si>
  <si>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</si>
  <si>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</si>
  <si>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</si>
  <si>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</si>
  <si>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</si>
  <si>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</si>
  <si>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</si>
  <si>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</si>
  <si>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</si>
  <si>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</si>
  <si>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</si>
  <si>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</si>
  <si>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</si>
  <si>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</si>
  <si>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</si>
  <si>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</si>
  <si>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</si>
  <si>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</si>
  <si>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</si>
  <si>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</si>
  <si>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</si>
  <si>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</si>
  <si>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</si>
  <si>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</si>
  <si>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</si>
  <si>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</si>
  <si>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</si>
  <si>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</si>
  <si>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</si>
  <si>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</si>
  <si>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</si>
  <si>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</si>
  <si>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</si>
  <si>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</si>
  <si>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</si>
  <si>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</si>
  <si>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</si>
  <si>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</si>
  <si>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</si>
  <si>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</si>
  <si>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</si>
  <si>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</si>
  <si>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</si>
  <si>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</si>
  <si>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</si>
  <si>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</si>
  <si>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</si>
  <si>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</si>
  <si>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</si>
  <si>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</si>
  <si>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</si>
  <si>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</si>
  <si>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</si>
  <si>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</si>
  <si>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</si>
  <si>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</si>
  <si>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</si>
  <si>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</si>
  <si>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</si>
  <si>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</si>
  <si>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</si>
  <si>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</si>
  <si>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</si>
  <si>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</si>
  <si>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</si>
  <si>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</si>
  <si>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</si>
  <si>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</si>
  <si>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</si>
  <si>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</si>
  <si>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</si>
  <si>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</si>
  <si>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</si>
  <si>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</si>
  <si>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</si>
  <si>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</si>
  <si>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</si>
  <si>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</si>
  <si>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</si>
  <si>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</si>
  <si>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</si>
  <si>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</si>
  <si>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</si>
  <si>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</si>
  <si>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</si>
  <si>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</si>
  <si>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</si>
  <si>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</si>
  <si>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</si>
  <si>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</si>
  <si>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</si>
  <si>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</si>
  <si>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</si>
  <si>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</si>
  <si>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</si>
  <si>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</si>
  <si>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</si>
  <si>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</si>
  <si>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</si>
  <si>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</si>
  <si>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</si>
  <si>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</si>
  <si>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</si>
  <si>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</si>
  <si>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</si>
  <si>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</si>
  <si>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</si>
  <si>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</si>
  <si>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</si>
  <si>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</si>
  <si>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</si>
  <si>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</si>
  <si>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</si>
  <si>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</si>
  <si>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</si>
  <si>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</si>
  <si>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</si>
  <si>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</si>
  <si>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</si>
  <si>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</si>
  <si>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</si>
  <si>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</si>
  <si>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</si>
  <si>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</si>
  <si>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</si>
  <si>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</si>
  <si>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</si>
  <si>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</si>
  <si>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</si>
  <si>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</si>
  <si>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</si>
  <si>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</si>
  <si>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</si>
  <si>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</si>
  <si>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</si>
  <si>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</si>
  <si>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</si>
  <si>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</si>
  <si>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</si>
  <si>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</si>
  <si>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</si>
  <si>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</si>
  <si>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</si>
  <si>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</si>
  <si>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</si>
  <si>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</si>
  <si>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</si>
  <si>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</si>
  <si>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</si>
  <si>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</si>
  <si>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</si>
  <si>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</si>
  <si>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</si>
  <si>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</si>
  <si>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</si>
  <si>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</si>
  <si>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</si>
  <si>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</si>
  <si>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</si>
  <si>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</si>
  <si>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</si>
  <si>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</si>
  <si>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</si>
  <si>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</si>
  <si>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</si>
  <si>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</si>
  <si>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</si>
  <si>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</si>
  <si>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</si>
  <si>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</si>
  <si>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</si>
  <si>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</si>
  <si>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</si>
  <si>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</si>
  <si>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</si>
  <si>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</si>
  <si>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</si>
  <si>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</si>
  <si>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</si>
  <si>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</si>
  <si>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</si>
  <si>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</si>
  <si>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</si>
  <si>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</si>
  <si>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</si>
  <si>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</si>
  <si>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</si>
  <si>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</si>
  <si>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</si>
  <si>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</si>
  <si>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</si>
  <si>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</si>
  <si>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</si>
  <si>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</si>
  <si>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</si>
  <si>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</si>
  <si>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</si>
  <si>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</si>
  <si>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</si>
  <si>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</si>
  <si>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</si>
  <si>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</si>
  <si>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</si>
  <si>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</si>
  <si>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</si>
  <si>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</si>
  <si>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</si>
  <si>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</si>
  <si>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</si>
  <si>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</si>
  <si>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</si>
  <si>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</si>
  <si>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</si>
  <si>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</si>
  <si>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</si>
  <si>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</si>
  <si>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</si>
  <si>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</si>
  <si>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</si>
  <si>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</si>
  <si>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</si>
  <si>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</si>
  <si>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</si>
  <si>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</si>
  <si>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</si>
  <si>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</si>
  <si>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</si>
  <si>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</si>
  <si>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</si>
  <si>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</si>
  <si>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</si>
  <si>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</si>
  <si>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</si>
  <si>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</si>
  <si>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</si>
  <si>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</si>
  <si>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</si>
  <si>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</si>
  <si>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</si>
  <si>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</si>
  <si>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</si>
  <si>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</si>
  <si>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</si>
  <si>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</si>
  <si>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</si>
  <si>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</si>
  <si>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</si>
  <si>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</si>
  <si>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</si>
  <si>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</si>
  <si>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</si>
  <si>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</si>
  <si>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</si>
  <si>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</si>
  <si>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</si>
  <si>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</si>
  <si>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</si>
  <si>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</si>
  <si>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</si>
  <si>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</si>
  <si>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</si>
  <si>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</si>
  <si>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</si>
  <si>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</si>
  <si>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</si>
  <si>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</si>
  <si>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</si>
  <si>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</si>
  <si>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</si>
  <si>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</si>
  <si>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</si>
  <si>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</si>
  <si>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</si>
  <si>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</si>
  <si>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</si>
  <si>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</si>
  <si>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</si>
  <si>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</si>
  <si>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</si>
  <si>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</si>
  <si>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</si>
  <si>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</si>
  <si>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</si>
  <si>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</si>
  <si>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</si>
  <si>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</si>
  <si>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</si>
  <si>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</si>
  <si>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</si>
  <si>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</si>
  <si>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</si>
  <si>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</si>
  <si>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</si>
  <si>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</si>
  <si>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</si>
  <si>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</si>
  <si>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</si>
  <si>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</si>
  <si>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</si>
  <si>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</si>
  <si>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</si>
  <si>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</si>
  <si>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</si>
  <si>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</si>
  <si>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</si>
  <si>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</si>
  <si>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</si>
  <si>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</si>
  <si>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</si>
  <si>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</si>
  <si>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</si>
  <si>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</si>
  <si>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</si>
  <si>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</si>
  <si>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</si>
  <si>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</si>
  <si>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</si>
  <si>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</si>
  <si>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</si>
  <si>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</si>
  <si>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</si>
  <si>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</si>
  <si>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</si>
  <si>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</si>
  <si>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</si>
  <si>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</si>
  <si>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</si>
  <si>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</si>
  <si>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</si>
  <si>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</si>
  <si>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</si>
  <si>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</si>
  <si>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</si>
  <si>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</si>
  <si>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</si>
  <si>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</si>
  <si>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</si>
  <si>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</si>
  <si>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</si>
  <si>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</si>
  <si>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</si>
  <si>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</si>
  <si>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</si>
  <si>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</si>
  <si>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</si>
  <si>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</si>
  <si>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</si>
  <si>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</si>
  <si>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</si>
  <si>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</si>
  <si>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</si>
  <si>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</si>
  <si>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</si>
  <si>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</si>
  <si>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</si>
  <si>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</si>
  <si>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</si>
  <si>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</si>
  <si>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</si>
  <si>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</si>
  <si>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</si>
  <si>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</si>
  <si>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</si>
  <si>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</si>
  <si>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</si>
  <si>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</si>
  <si>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</si>
  <si>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</si>
  <si>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</si>
  <si>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</si>
  <si>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</si>
  <si>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</si>
  <si>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</si>
  <si>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</si>
  <si>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</si>
  <si>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</si>
  <si>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</si>
  <si>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</si>
  <si>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</si>
  <si>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</si>
  <si>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</si>
  <si>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</si>
  <si>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</si>
  <si>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</si>
  <si>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</si>
  <si>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</si>
  <si>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</si>
  <si>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</si>
  <si>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</si>
  <si>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</si>
  <si>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</si>
  <si>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</si>
  <si>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</si>
  <si>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</si>
  <si>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</si>
  <si>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</si>
  <si>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</si>
  <si>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</si>
  <si>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</si>
  <si>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</si>
  <si>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</si>
  <si>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</si>
  <si>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</si>
  <si>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</si>
  <si>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</si>
  <si>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</si>
  <si>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</si>
  <si>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</si>
  <si>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</si>
  <si>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</si>
  <si>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</si>
  <si>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</si>
  <si>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</si>
  <si>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</si>
  <si>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</si>
  <si>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</si>
  <si>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</si>
  <si>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</si>
  <si>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</si>
  <si>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</si>
  <si>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</si>
  <si>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</si>
  <si>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</si>
  <si>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</si>
  <si>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</si>
  <si>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</si>
  <si>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</si>
  <si>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</si>
  <si>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</si>
  <si>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</si>
  <si>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</si>
  <si>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</si>
  <si>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</si>
  <si>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</si>
  <si>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</si>
  <si>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</si>
  <si>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</si>
  <si>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</si>
  <si>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</si>
  <si>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</si>
  <si>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</si>
  <si>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</si>
  <si>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</si>
  <si>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</si>
  <si>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</si>
  <si>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</si>
  <si>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</si>
  <si>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</si>
  <si>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</si>
  <si>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</si>
  <si>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</si>
  <si>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</si>
  <si>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</si>
  <si>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</si>
  <si>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</si>
  <si>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</si>
  <si>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</si>
  <si>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</si>
  <si>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</si>
  <si>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</si>
  <si>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</si>
  <si>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</si>
  <si>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</si>
  <si>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</si>
  <si>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</si>
  <si>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</si>
  <si>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</si>
  <si>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</si>
  <si>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</si>
  <si>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</si>
  <si>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</si>
  <si>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</si>
  <si>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</si>
  <si>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</si>
  <si>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</si>
  <si>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</si>
  <si>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</si>
  <si>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</si>
  <si>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</si>
  <si>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</si>
  <si>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</si>
  <si>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</si>
  <si>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</si>
  <si>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</si>
  <si>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</si>
  <si>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</si>
  <si>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</si>
  <si>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</si>
  <si>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</si>
  <si>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</si>
  <si>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</si>
  <si>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</si>
  <si>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</si>
  <si>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</si>
  <si>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</si>
  <si>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</si>
  <si>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</si>
  <si>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</si>
  <si>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</si>
  <si>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</si>
  <si>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</si>
  <si>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</si>
  <si>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</si>
  <si>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</si>
  <si>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</si>
  <si>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</si>
  <si>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</si>
  <si>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</si>
  <si>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</si>
  <si>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</si>
  <si>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</si>
  <si>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</si>
  <si>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</si>
  <si>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</si>
  <si>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</si>
  <si>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</si>
  <si>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</si>
  <si>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</si>
  <si>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</si>
  <si>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</si>
  <si>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</si>
  <si>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</si>
  <si>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</si>
  <si>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</si>
  <si>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</si>
  <si>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</si>
  <si>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</si>
  <si>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</si>
  <si>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</si>
  <si>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</si>
  <si>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</si>
  <si>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</si>
  <si>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</si>
  <si>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</si>
  <si>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</si>
  <si>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</si>
  <si>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</si>
  <si>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</si>
  <si>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</si>
  <si>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</si>
  <si>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</si>
  <si>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</si>
  <si>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</si>
  <si>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</si>
  <si>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</si>
  <si>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</si>
  <si>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</si>
  <si>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</si>
  <si>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</si>
  <si>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</si>
  <si>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</si>
  <si>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</si>
  <si>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</si>
  <si>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</si>
  <si>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</si>
  <si>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</si>
  <si>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</si>
  <si>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</si>
  <si>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</si>
  <si>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</si>
  <si>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</si>
  <si>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</si>
  <si>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</si>
  <si>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</si>
  <si>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</si>
  <si>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</si>
  <si>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</si>
  <si>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</si>
  <si>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</si>
  <si>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</si>
  <si>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</si>
  <si>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</si>
  <si>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</si>
  <si>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</si>
  <si>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</si>
  <si>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</si>
  <si>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</si>
  <si>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</si>
  <si>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</si>
  <si>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</si>
  <si>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</si>
  <si>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</si>
  <si>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</si>
  <si>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</si>
  <si>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</si>
  <si>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</si>
  <si>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</si>
  <si>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</si>
  <si>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</si>
  <si>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</si>
  <si>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</si>
  <si>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</si>
  <si>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</si>
  <si>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</si>
  <si>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</si>
  <si>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</si>
  <si>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</si>
  <si>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</si>
  <si>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</si>
  <si>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</si>
  <si>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</si>
  <si>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</si>
  <si>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</si>
  <si>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</si>
  <si>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</si>
  <si>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</si>
  <si>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</si>
  <si>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</si>
  <si>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</si>
  <si>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</si>
  <si>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</si>
  <si>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</si>
  <si>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</si>
  <si>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</si>
  <si>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</si>
  <si>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</si>
  <si>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</si>
  <si>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</si>
  <si>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</si>
  <si>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</si>
  <si>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</si>
  <si>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</si>
  <si>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</si>
  <si>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</si>
  <si>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</si>
  <si>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</si>
  <si>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</si>
  <si>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</si>
  <si>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</si>
  <si>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</si>
  <si>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</si>
  <si>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</si>
  <si>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</si>
  <si>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</si>
  <si>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</si>
  <si>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</si>
  <si>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</si>
  <si>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</si>
  <si>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</si>
  <si>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</si>
  <si>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</si>
  <si>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</si>
  <si>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</si>
  <si>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</si>
  <si>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</si>
  <si>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</si>
  <si>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</si>
  <si>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</si>
  <si>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</si>
  <si>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</si>
  <si>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</si>
  <si>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</si>
  <si>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</si>
  <si>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</si>
  <si>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</si>
  <si>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</si>
  <si>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</si>
  <si>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</si>
  <si>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</si>
  <si>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</si>
  <si>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</si>
  <si>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</si>
  <si>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</si>
  <si>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</si>
  <si>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</si>
  <si>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</si>
  <si>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</si>
  <si>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</si>
  <si>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</si>
  <si>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</si>
  <si>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</si>
  <si>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</si>
  <si>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</si>
  <si>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</si>
  <si>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</si>
  <si>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</si>
  <si>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</si>
  <si>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</si>
  <si>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</si>
  <si>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</si>
  <si>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</si>
  <si>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</si>
  <si>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</si>
  <si>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</si>
  <si>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</si>
  <si>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</si>
  <si>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</si>
  <si>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</si>
  <si>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</si>
  <si>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</si>
  <si>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</si>
  <si>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</si>
  <si>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</si>
  <si>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</si>
  <si>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</si>
  <si>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</si>
  <si>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</si>
  <si>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</si>
  <si>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</si>
  <si>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</si>
  <si>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</si>
  <si>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</si>
  <si>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</si>
  <si>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</si>
  <si>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</si>
  <si>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</si>
  <si>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</si>
  <si>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</si>
  <si>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</si>
  <si>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</si>
  <si>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</si>
  <si>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</si>
  <si>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</si>
  <si>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</si>
  <si>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</si>
  <si>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</si>
  <si>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</si>
  <si>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</si>
  <si>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</si>
  <si>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</si>
  <si>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</si>
  <si>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</si>
  <si>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</si>
  <si>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</si>
  <si>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</si>
  <si>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</si>
  <si>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</si>
  <si>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</si>
  <si>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</si>
  <si>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</si>
  <si>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</si>
  <si>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</si>
  <si>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</si>
  <si>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</si>
  <si>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</si>
  <si>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</si>
  <si>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</si>
  <si>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</si>
  <si>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</si>
  <si>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</si>
  <si>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</si>
  <si>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</si>
  <si>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</si>
  <si>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</si>
  <si>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</si>
  <si>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</si>
  <si>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</si>
  <si>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</si>
  <si>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</si>
  <si>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</si>
  <si>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</si>
  <si>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</si>
  <si>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</si>
  <si>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</si>
  <si>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</si>
  <si>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</si>
  <si>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</si>
  <si>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</si>
  <si>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</si>
  <si>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</si>
  <si>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</si>
  <si>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</si>
  <si>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</si>
  <si>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</si>
  <si>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</si>
  <si>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</si>
  <si>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</si>
  <si>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</si>
  <si>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</si>
  <si>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</si>
  <si>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</si>
  <si>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</si>
  <si>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</si>
  <si>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</si>
  <si>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</si>
  <si>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</si>
  <si>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</si>
  <si>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</si>
  <si>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</si>
  <si>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</si>
  <si>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</si>
  <si>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</si>
  <si>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</si>
  <si>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</si>
  <si>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</si>
  <si>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</si>
  <si>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</si>
  <si>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</si>
  <si>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</si>
  <si>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</si>
  <si>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</si>
  <si>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</si>
  <si>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</si>
  <si>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</si>
  <si>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</si>
  <si>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</si>
  <si>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</si>
  <si>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</si>
  <si>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</si>
  <si>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</si>
  <si>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</si>
  <si>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</si>
  <si>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</si>
  <si>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</si>
  <si>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</si>
  <si>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</si>
  <si>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</si>
  <si>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</si>
  <si>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</si>
  <si>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</si>
  <si>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</si>
  <si>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</si>
  <si>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</si>
  <si>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</si>
  <si>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</si>
  <si>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</si>
  <si>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</si>
  <si>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</si>
  <si>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</si>
  <si>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</si>
  <si>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</si>
  <si>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</si>
  <si>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</si>
  <si>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</si>
  <si>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</si>
  <si>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</si>
  <si>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</si>
  <si>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</si>
  <si>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</si>
  <si>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</si>
  <si>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</si>
  <si>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</si>
  <si>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</si>
  <si>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</si>
  <si>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</si>
  <si>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</si>
  <si>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</si>
  <si>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</si>
  <si>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</si>
  <si>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</si>
  <si>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</si>
  <si>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</si>
  <si>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</si>
  <si>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</si>
  <si>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</si>
  <si>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</si>
  <si>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</si>
  <si>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</si>
  <si>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</si>
  <si>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</si>
  <si>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</si>
  <si>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</si>
  <si>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</si>
  <si>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</si>
  <si>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</si>
  <si>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</si>
  <si>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</si>
  <si>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</si>
  <si>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</si>
  <si>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</si>
  <si>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</si>
  <si>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</si>
  <si>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</si>
  <si>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</si>
  <si>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</si>
  <si>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</si>
  <si>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</si>
  <si>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</si>
  <si>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</si>
  <si>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</si>
  <si>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</si>
  <si>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</si>
  <si>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</si>
  <si>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</si>
  <si>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</si>
  <si>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</si>
  <si>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</si>
  <si>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</si>
  <si>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</si>
  <si>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</si>
  <si>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</si>
  <si>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</si>
  <si>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</si>
  <si>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</si>
  <si>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</si>
  <si>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</si>
  <si>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</si>
  <si>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</si>
  <si>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</si>
  <si>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</si>
  <si>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</si>
  <si>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</si>
  <si>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</si>
  <si>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</si>
  <si>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</si>
  <si>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</si>
  <si>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</si>
  <si>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</si>
  <si>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</si>
  <si>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</si>
  <si>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</si>
  <si>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</si>
  <si>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</si>
  <si>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</si>
  <si>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</si>
  <si>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</si>
  <si>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</si>
  <si>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</si>
  <si>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</si>
  <si>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</si>
  <si>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</si>
  <si>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</si>
  <si>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</si>
  <si>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</si>
  <si>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</si>
  <si>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</si>
  <si>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</si>
  <si>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</si>
  <si>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</si>
  <si>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</si>
  <si>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</si>
  <si>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</si>
  <si>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</si>
  <si>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</si>
  <si>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</si>
  <si>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</si>
  <si>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</si>
  <si>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</si>
  <si>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</si>
  <si>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</si>
  <si>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</si>
  <si>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</si>
  <si>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</si>
  <si>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</si>
  <si>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</si>
  <si>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</si>
  <si>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</si>
  <si>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</si>
  <si>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</si>
  <si>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</si>
  <si>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</si>
  <si>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</si>
  <si>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</si>
  <si>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</si>
  <si>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</si>
  <si>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</si>
  <si>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</si>
  <si>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</si>
  <si>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</si>
  <si>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</si>
  <si>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</si>
  <si>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</si>
  <si>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</si>
  <si>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</si>
  <si>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</si>
  <si>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</si>
  <si>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</si>
  <si>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</si>
  <si>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</si>
  <si>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</si>
  <si>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</si>
  <si>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</si>
  <si>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</si>
  <si>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</si>
  <si>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</si>
  <si>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</si>
  <si>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</si>
  <si>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</si>
  <si>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</si>
  <si>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</si>
  <si>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</si>
  <si>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</si>
  <si>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</si>
  <si>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</si>
  <si>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</si>
  <si>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</si>
  <si>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</si>
  <si>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</si>
  <si>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</si>
  <si>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</si>
  <si>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</si>
  <si>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</si>
  <si>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</si>
  <si>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</si>
  <si>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</si>
  <si>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</si>
  <si>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</si>
  <si>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</si>
  <si>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</si>
  <si>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</si>
  <si>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</si>
  <si>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</si>
  <si>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</si>
  <si>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</si>
  <si>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</si>
  <si>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</si>
  <si>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</si>
  <si>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</si>
  <si>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</si>
  <si>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</si>
  <si>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</si>
  <si>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</si>
  <si>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</si>
  <si>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</si>
  <si>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</si>
  <si>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</si>
  <si>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</si>
  <si>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</si>
  <si>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</si>
  <si>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</si>
  <si>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</si>
  <si>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</si>
  <si>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</si>
  <si>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</si>
  <si>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</si>
  <si>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</si>
  <si>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</si>
  <si>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</si>
  <si>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</si>
  <si>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</si>
  <si>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</si>
  <si>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</si>
  <si>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</si>
  <si>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</si>
  <si>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</si>
  <si>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</si>
  <si>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</si>
  <si>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</si>
  <si>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</si>
  <si>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</si>
  <si>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</si>
  <si>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</si>
  <si>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</si>
  <si>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</si>
  <si>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</si>
  <si>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</si>
  <si>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</si>
  <si>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</si>
  <si>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</si>
  <si>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</si>
  <si>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</si>
  <si>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</si>
  <si>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</si>
  <si>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</si>
  <si>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</si>
  <si>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</si>
  <si>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</si>
  <si>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</si>
  <si>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</si>
  <si>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</si>
  <si>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</si>
  <si>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</si>
  <si>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</si>
  <si>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</si>
  <si>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</si>
  <si>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</si>
  <si>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</si>
  <si>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</si>
  <si>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</si>
  <si>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</si>
  <si>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</si>
  <si>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</si>
  <si>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</si>
  <si>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</si>
  <si>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</si>
  <si>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</si>
  <si>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</si>
  <si>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</si>
  <si>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</si>
  <si>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</si>
  <si>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</si>
  <si>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</si>
  <si>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</si>
  <si>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</si>
  <si>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</si>
  <si>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</si>
  <si>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</si>
  <si>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</si>
  <si>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</si>
  <si>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</si>
  <si>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</si>
  <si>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</si>
  <si>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</si>
  <si>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</si>
  <si>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</si>
  <si>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</si>
  <si>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</si>
  <si>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</si>
  <si>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</si>
  <si>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</si>
  <si>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</si>
  <si>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</si>
  <si>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</si>
  <si>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</si>
  <si>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</si>
  <si>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</si>
  <si>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</si>
  <si>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</si>
  <si>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</si>
  <si>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</si>
  <si>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</si>
  <si>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</si>
  <si>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</si>
  <si>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</si>
  <si>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</si>
  <si>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</si>
  <si>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</si>
  <si>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</si>
  <si>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</si>
  <si>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</si>
  <si>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</si>
  <si>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</si>
  <si>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</si>
  <si>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</si>
  <si>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</si>
  <si>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</si>
  <si>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</si>
  <si>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</si>
  <si>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</si>
  <si>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</si>
  <si>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</si>
  <si>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</si>
  <si>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</si>
  <si>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</si>
  <si>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</si>
  <si>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</si>
  <si>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</si>
  <si>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</si>
  <si>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</si>
  <si>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</si>
  <si>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</si>
  <si>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</si>
  <si>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</si>
  <si>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</si>
  <si>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</si>
  <si>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</si>
  <si>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</si>
  <si>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</si>
  <si>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</si>
  <si>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</si>
  <si>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</si>
  <si>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</si>
  <si>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</si>
  <si>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</si>
  <si>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</si>
  <si>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</si>
  <si>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</si>
  <si>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</si>
  <si>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</si>
  <si>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</si>
  <si>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</si>
  <si>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</si>
  <si>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</si>
  <si>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</si>
  <si>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</si>
  <si>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</si>
  <si>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</si>
  <si>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</si>
  <si>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</si>
  <si>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</si>
  <si>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</si>
  <si>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</si>
  <si>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</si>
  <si>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</si>
  <si>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</si>
  <si>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</si>
  <si>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</si>
  <si>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</si>
  <si>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</si>
  <si>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</si>
  <si>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</si>
  <si>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</si>
  <si>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</si>
  <si>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</si>
  <si>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</si>
  <si>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</si>
  <si>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</si>
  <si>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</si>
  <si>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</si>
  <si>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</si>
  <si>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</si>
  <si>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</si>
  <si>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</si>
  <si>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</si>
  <si>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</si>
  <si>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</si>
  <si>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</si>
  <si>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</si>
  <si>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</si>
  <si>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</si>
  <si>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</si>
  <si>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</si>
  <si>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</si>
  <si>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</si>
  <si>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</si>
  <si>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</si>
  <si>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</si>
  <si>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</si>
  <si>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</si>
  <si>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</si>
  <si>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</si>
  <si>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</si>
  <si>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</si>
  <si>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</si>
  <si>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</si>
  <si>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</si>
  <si>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</si>
  <si>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</si>
  <si>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</si>
  <si>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</si>
  <si>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</si>
  <si>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</si>
  <si>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</si>
  <si>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</si>
  <si>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</si>
  <si>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</si>
  <si>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</si>
  <si>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</si>
  <si>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</si>
  <si>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</si>
  <si>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</si>
  <si>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</si>
  <si>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</si>
  <si>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</si>
  <si>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</si>
  <si>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</si>
  <si>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</si>
  <si>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</si>
  <si>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</si>
  <si>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</si>
  <si>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</si>
  <si>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</si>
  <si>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</si>
  <si>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</si>
  <si>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</si>
  <si>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</si>
  <si>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</si>
  <si>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</si>
  <si>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</si>
  <si>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</si>
  <si>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</si>
  <si>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</si>
  <si>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</si>
  <si>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</si>
  <si>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</si>
  <si>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</si>
  <si>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</si>
  <si>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</si>
  <si>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</si>
  <si>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</si>
  <si>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</si>
  <si>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</si>
  <si>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</si>
  <si>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</si>
  <si>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</si>
  <si>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</si>
  <si>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</si>
  <si>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</si>
  <si>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</si>
  <si>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</si>
  <si>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</si>
  <si>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</si>
  <si>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</si>
  <si>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</si>
  <si>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</si>
  <si>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</si>
  <si>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</si>
  <si>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</si>
  <si>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</si>
  <si>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</si>
  <si>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</si>
  <si>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</si>
  <si>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</si>
  <si>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</si>
  <si>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</si>
  <si>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</si>
  <si>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</si>
  <si>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</si>
  <si>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</si>
  <si>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</si>
  <si>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</si>
  <si>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</si>
  <si>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</si>
  <si>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</si>
  <si>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</si>
  <si>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</si>
  <si>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</si>
  <si>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</si>
  <si>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</si>
  <si>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</si>
  <si>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</si>
  <si>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</si>
  <si>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</si>
  <si>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</si>
  <si>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</si>
  <si>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</si>
  <si>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</si>
  <si>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</si>
  <si>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</si>
  <si>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</si>
  <si>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</si>
  <si>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</si>
  <si>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</si>
  <si>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</si>
  <si>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</si>
  <si>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</si>
  <si>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</si>
  <si>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</si>
  <si>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</si>
  <si>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</si>
  <si>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</si>
  <si>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</si>
  <si>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</si>
  <si>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</si>
  <si>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</si>
  <si>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</si>
  <si>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</si>
  <si>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</si>
  <si>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</si>
  <si>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</si>
  <si>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</si>
  <si>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</si>
  <si>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</si>
  <si>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</si>
  <si>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</si>
  <si>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</si>
  <si>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</si>
  <si>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</si>
  <si>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</si>
  <si>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</si>
  <si>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</si>
  <si>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</si>
  <si>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</si>
  <si>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</si>
  <si>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</si>
  <si>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</si>
  <si>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</si>
  <si>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</si>
  <si>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</si>
  <si>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</si>
  <si>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</si>
  <si>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</si>
  <si>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</si>
  <si>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</si>
  <si>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</si>
  <si>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</si>
  <si>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</si>
  <si>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</si>
  <si>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</si>
  <si>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</si>
  <si>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</si>
  <si>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</si>
  <si>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</si>
  <si>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</si>
  <si>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</si>
  <si>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</si>
  <si>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</si>
  <si>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</si>
  <si>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</si>
  <si>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</si>
  <si>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</si>
  <si>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</si>
  <si>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</si>
  <si>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</si>
  <si>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</si>
  <si>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</si>
  <si>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</si>
  <si>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</si>
  <si>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</si>
  <si>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</si>
  <si>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</si>
  <si>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</si>
  <si>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</si>
  <si>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</si>
  <si>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</si>
  <si>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</si>
  <si>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</si>
  <si>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</si>
  <si>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</si>
  <si>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</si>
  <si>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</si>
  <si>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</si>
  <si>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</si>
  <si>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</si>
  <si>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</si>
  <si>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</si>
  <si>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</si>
  <si>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</si>
  <si>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</si>
  <si>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</si>
  <si>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</si>
  <si>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</si>
  <si>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</si>
  <si>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</si>
  <si>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</si>
  <si>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</si>
  <si>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</si>
  <si>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</si>
  <si>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</si>
  <si>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</si>
  <si>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</si>
  <si>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</si>
  <si>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</si>
  <si>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</si>
  <si>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</si>
  <si>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</si>
  <si>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</si>
  <si>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</si>
  <si>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</si>
  <si>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</si>
  <si>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</si>
  <si>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</si>
  <si>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</si>
  <si>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</si>
  <si>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</si>
  <si>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</si>
  <si>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</si>
  <si>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</si>
  <si>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</si>
  <si>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</si>
  <si>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</si>
  <si>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</si>
  <si>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</si>
  <si>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</si>
  <si>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</si>
  <si>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</si>
  <si>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</si>
  <si>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</si>
  <si>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</si>
  <si>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</si>
  <si>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</si>
  <si>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</si>
  <si>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</si>
  <si>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</si>
  <si>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</si>
  <si>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</si>
  <si>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</si>
  <si>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</si>
  <si>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</si>
  <si>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</si>
  <si>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</si>
  <si>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</si>
  <si>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</si>
  <si>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</si>
  <si>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</si>
  <si>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</si>
  <si>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</si>
  <si>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</si>
  <si>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</si>
  <si>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</si>
  <si>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</si>
  <si>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</si>
  <si>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</si>
  <si>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</si>
  <si>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</si>
  <si>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</si>
  <si>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</si>
  <si>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</si>
  <si>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</si>
  <si>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</si>
  <si>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</si>
  <si>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</si>
  <si>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</si>
  <si>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</si>
  <si>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</si>
  <si>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</si>
  <si>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</si>
  <si>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</si>
  <si>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</si>
  <si>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</si>
  <si>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</si>
  <si>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</si>
  <si>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</si>
  <si>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</si>
  <si>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</si>
  <si>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</si>
  <si>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</si>
  <si>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</si>
  <si>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</si>
  <si>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</si>
  <si>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</si>
  <si>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</si>
  <si>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</si>
  <si>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</si>
  <si>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</si>
  <si>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</si>
  <si>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</si>
  <si>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</si>
  <si>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</si>
  <si>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</si>
  <si>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</si>
  <si>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</si>
  <si>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</si>
  <si>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</si>
  <si>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</si>
  <si>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</si>
  <si>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</si>
  <si>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</si>
  <si>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</si>
  <si>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</si>
  <si>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</si>
  <si>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</si>
  <si>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</si>
  <si>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</si>
  <si>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</si>
  <si>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</si>
  <si>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</si>
  <si>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</si>
  <si>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</si>
  <si>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</si>
  <si>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</si>
  <si>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</si>
  <si>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</si>
  <si>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</si>
  <si>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</si>
  <si>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</si>
  <si>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</si>
  <si>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</si>
  <si>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</si>
  <si>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</si>
  <si>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</si>
  <si>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</si>
  <si>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</si>
  <si>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</si>
  <si>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</si>
  <si>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</si>
  <si>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</si>
  <si>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</si>
  <si>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</si>
  <si>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</si>
  <si>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</si>
  <si>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</si>
  <si>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</si>
  <si>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</si>
  <si>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</si>
  <si>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</si>
  <si>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</si>
  <si>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</si>
  <si>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</si>
  <si>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</si>
  <si>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</si>
  <si>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</si>
  <si>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</si>
  <si>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</si>
  <si>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</si>
  <si>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</si>
  <si>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</si>
  <si>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</si>
  <si>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</si>
  <si>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</si>
  <si>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</si>
  <si>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</si>
  <si>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</si>
  <si>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</si>
  <si>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</si>
  <si>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</si>
  <si>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</si>
  <si>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</si>
  <si>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</si>
  <si>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</si>
  <si>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</si>
  <si>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</si>
  <si>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</si>
  <si>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</si>
  <si>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</si>
  <si>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</si>
  <si>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</si>
  <si>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</si>
  <si>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</si>
  <si>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</si>
  <si>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</si>
  <si>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</si>
  <si>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</si>
  <si>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</si>
  <si>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</si>
  <si>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</si>
  <si>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</si>
  <si>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</si>
  <si>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</si>
  <si>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</si>
  <si>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</si>
  <si>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</si>
  <si>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</si>
  <si>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</si>
  <si>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</si>
  <si>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</si>
  <si>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</si>
  <si>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</si>
  <si>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</si>
  <si>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</si>
  <si>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</si>
  <si>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</si>
  <si>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</si>
  <si>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</si>
  <si>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</si>
  <si>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</si>
  <si>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</si>
  <si>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</si>
  <si>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</si>
  <si>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</si>
  <si>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</si>
  <si>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</si>
  <si>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</si>
  <si>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</si>
  <si>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</si>
  <si>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</si>
  <si>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</si>
  <si>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</si>
  <si>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</si>
  <si>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</si>
  <si>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</si>
  <si>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</si>
  <si>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</si>
  <si>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</si>
  <si>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</si>
  <si>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</si>
  <si>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</si>
  <si>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</si>
  <si>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</si>
  <si>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</si>
  <si>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</si>
  <si>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</si>
  <si>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</si>
  <si>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</si>
  <si>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</si>
  <si>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</si>
  <si>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</si>
  <si>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</si>
  <si>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</si>
  <si>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</si>
  <si>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</si>
  <si>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</si>
  <si>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</si>
  <si>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</si>
  <si>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</si>
  <si>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</si>
  <si>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</si>
  <si>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</si>
  <si>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</si>
  <si>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</si>
  <si>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</si>
  <si>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</si>
  <si>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</si>
  <si>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</si>
  <si>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</si>
  <si>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</si>
  <si>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</si>
  <si>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</si>
  <si>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</si>
  <si>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</si>
  <si>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</si>
  <si>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</si>
  <si>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</si>
  <si>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</si>
  <si>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</si>
  <si>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</si>
  <si>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</si>
  <si>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</si>
  <si>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</si>
  <si>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</si>
  <si>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</si>
  <si>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</si>
  <si>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</si>
  <si>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</si>
  <si>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</si>
  <si>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</si>
  <si>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</si>
  <si>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</si>
  <si>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</si>
  <si>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</si>
  <si>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</si>
  <si>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</si>
  <si>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</si>
  <si>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</si>
  <si>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</si>
  <si>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</si>
  <si>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</si>
  <si>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</si>
  <si>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</si>
  <si>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</si>
  <si>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</si>
  <si>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</si>
  <si>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</si>
  <si>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</si>
  <si>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</si>
  <si>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</si>
  <si>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</si>
  <si>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</si>
  <si>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</si>
  <si>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</si>
  <si>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</si>
  <si>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</si>
  <si>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</si>
  <si>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</si>
  <si>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</si>
  <si>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</si>
  <si>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</si>
  <si>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</si>
  <si>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</si>
  <si>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</si>
  <si>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</si>
  <si>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</si>
  <si>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</si>
  <si>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</si>
  <si>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</si>
  <si>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</si>
  <si>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</si>
  <si>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</si>
  <si>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</si>
  <si>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</si>
  <si>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</si>
  <si>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</si>
  <si>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</si>
  <si>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</si>
  <si>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</si>
  <si>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</si>
  <si>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</si>
  <si>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</si>
  <si>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</si>
  <si>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</si>
  <si>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</si>
  <si>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</si>
  <si>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</si>
  <si>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</si>
  <si>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</si>
  <si>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</si>
  <si>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</si>
  <si>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</si>
  <si>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</si>
  <si>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</si>
  <si>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</si>
  <si>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</si>
  <si>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</si>
  <si>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</si>
  <si>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</si>
  <si>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</si>
  <si>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</si>
  <si>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</si>
  <si>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</si>
  <si>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</si>
  <si>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</si>
  <si>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</si>
  <si>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</si>
  <si>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</si>
  <si>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</si>
  <si>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</si>
  <si>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</si>
  <si>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</si>
  <si>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</si>
  <si>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</si>
  <si>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</si>
  <si>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</si>
  <si>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</si>
  <si>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</si>
  <si>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</si>
  <si>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</si>
  <si>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</si>
  <si>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</si>
  <si>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</si>
  <si>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</si>
  <si>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</si>
  <si>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</si>
  <si>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</si>
  <si>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</si>
  <si>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</si>
  <si>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</si>
  <si>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</si>
  <si>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</si>
  <si>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</si>
  <si>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</si>
  <si>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</si>
  <si>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</si>
  <si>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</si>
  <si>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</si>
  <si>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</si>
  <si>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</si>
  <si>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</si>
  <si>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</si>
  <si>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</si>
  <si>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</si>
  <si>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</si>
  <si>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</si>
  <si>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</si>
  <si>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</si>
  <si>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</si>
  <si>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</si>
  <si>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</si>
  <si>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</si>
  <si>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</si>
  <si>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</si>
  <si>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</si>
  <si>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</si>
  <si>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</si>
  <si>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</si>
  <si>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</si>
  <si>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</si>
  <si>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</si>
  <si>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</si>
  <si>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</si>
  <si>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</si>
  <si>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</si>
  <si>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</si>
  <si>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</si>
  <si>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</si>
  <si>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</si>
  <si>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</si>
  <si>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</si>
  <si>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</si>
  <si>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</si>
  <si>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</si>
  <si>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</si>
  <si>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</si>
  <si>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</si>
  <si>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</si>
  <si>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</si>
  <si>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</si>
  <si>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</si>
  <si>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</si>
  <si>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</si>
  <si>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</si>
  <si>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</si>
  <si>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</si>
  <si>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</si>
  <si>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</si>
  <si>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</si>
  <si>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</si>
  <si>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</si>
  <si>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</si>
  <si>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</si>
  <si>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</si>
  <si>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</si>
  <si>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</si>
  <si>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</si>
  <si>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</si>
  <si>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</si>
  <si>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</si>
  <si>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</si>
  <si>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</si>
  <si>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</si>
  <si>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</si>
  <si>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</si>
  <si>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</si>
  <si>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</si>
  <si>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</si>
  <si>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</si>
  <si>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</si>
  <si>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</si>
  <si>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</si>
  <si>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</si>
  <si>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</si>
  <si>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</si>
  <si>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</si>
  <si>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</si>
  <si>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</si>
  <si>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</si>
  <si>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</si>
  <si>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</si>
  <si>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</si>
  <si>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</si>
  <si>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</si>
  <si>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</si>
  <si>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</si>
  <si>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</si>
  <si>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</si>
  <si>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</si>
  <si>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</si>
  <si>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</si>
  <si>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</si>
  <si>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</si>
  <si>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</si>
  <si>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</si>
  <si>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</si>
  <si>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</si>
  <si>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</si>
  <si>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</si>
  <si>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</si>
  <si>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</si>
  <si>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</si>
  <si>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</si>
  <si>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</si>
  <si>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</si>
  <si>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</si>
  <si>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</si>
  <si>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</si>
  <si>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</si>
  <si>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</si>
  <si>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</si>
  <si>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</si>
  <si>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</si>
  <si>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</si>
  <si>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</si>
  <si>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</si>
  <si>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</si>
  <si>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</si>
  <si>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</si>
  <si>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</si>
  <si>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</si>
  <si>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</si>
  <si>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</si>
  <si>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</si>
  <si>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</si>
  <si>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</si>
  <si>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</si>
  <si>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</si>
  <si>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</si>
  <si>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</si>
  <si>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</si>
  <si>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</si>
  <si>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</si>
  <si>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</si>
  <si>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</si>
  <si>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</si>
  <si>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</si>
  <si>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</si>
  <si>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</si>
  <si>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</si>
  <si>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</si>
  <si>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</si>
  <si>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</si>
  <si>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</si>
  <si>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</si>
  <si>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</si>
  <si>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</si>
  <si>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</si>
  <si>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</si>
  <si>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</si>
  <si>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</si>
  <si>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</si>
  <si>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</si>
  <si>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</si>
  <si>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</si>
  <si>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</si>
  <si>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</si>
  <si>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</si>
  <si>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</si>
  <si>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</si>
  <si>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</si>
  <si>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</si>
  <si>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</si>
  <si>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</si>
  <si>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</si>
  <si>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</si>
  <si>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</si>
  <si>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</si>
  <si>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</si>
  <si>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</si>
  <si>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</si>
  <si>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</si>
  <si>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</si>
  <si>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</si>
  <si>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</si>
  <si>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</si>
  <si>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</si>
  <si>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</si>
  <si>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</si>
  <si>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</si>
  <si>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</si>
  <si>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</si>
  <si>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</si>
  <si>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</si>
  <si>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</si>
  <si>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</si>
  <si>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</si>
  <si>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</si>
  <si>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</si>
  <si>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</si>
  <si>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</si>
  <si>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</si>
  <si>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</si>
  <si>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</si>
  <si>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</si>
  <si>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</si>
  <si>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</si>
  <si>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</si>
  <si>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</si>
  <si>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</si>
  <si>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</si>
  <si>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</si>
  <si>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</si>
  <si>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</si>
  <si>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</si>
  <si>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</si>
  <si>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</si>
  <si>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</si>
  <si>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</si>
  <si>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</si>
  <si>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</si>
  <si>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</si>
  <si>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</si>
  <si>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</si>
  <si>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</si>
  <si>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</si>
  <si>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</si>
  <si>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</si>
  <si>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</si>
  <si>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</si>
  <si>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</si>
  <si>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</si>
  <si>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</si>
  <si>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</si>
  <si>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</si>
  <si>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</si>
  <si>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</si>
  <si>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</si>
  <si>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</si>
  <si>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</si>
  <si>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</si>
  <si>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</si>
  <si>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</si>
  <si>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</si>
  <si>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</si>
  <si>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</si>
  <si>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</si>
  <si>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</si>
  <si>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</si>
  <si>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</si>
  <si>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</si>
  <si>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</si>
  <si>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</si>
  <si>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</si>
  <si>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</si>
  <si>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</si>
  <si>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</si>
  <si>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</si>
  <si>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</si>
  <si>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</si>
  <si>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</si>
  <si>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</si>
  <si>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</si>
  <si>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</si>
  <si>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</si>
  <si>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</si>
  <si>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</si>
  <si>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</si>
  <si>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</si>
  <si>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</si>
  <si>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</si>
  <si>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</si>
  <si>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</si>
  <si>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</si>
  <si>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</si>
  <si>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</si>
  <si>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</si>
  <si>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</si>
  <si>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</si>
  <si>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</si>
  <si>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</si>
  <si>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</si>
  <si>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</si>
  <si>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</si>
  <si>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</si>
  <si>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</si>
  <si>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</si>
  <si>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</si>
  <si>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</si>
  <si>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</si>
  <si>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</si>
  <si>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</si>
  <si>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</si>
  <si>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</si>
  <si>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</si>
  <si>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</si>
  <si>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</si>
  <si>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</si>
  <si>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</si>
  <si>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</si>
  <si>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</si>
  <si>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</si>
  <si>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</si>
  <si>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</si>
  <si>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</si>
  <si>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</si>
  <si>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</si>
  <si>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</si>
  <si>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</si>
  <si>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</si>
  <si>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</si>
  <si>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</si>
  <si>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</si>
  <si>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</si>
  <si>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</si>
  <si>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</si>
  <si>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</si>
  <si>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</si>
  <si>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</si>
  <si>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</si>
  <si>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</si>
  <si>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</si>
  <si>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</si>
  <si>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</si>
  <si>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</si>
  <si>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</si>
  <si>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</si>
  <si>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</si>
  <si>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</si>
  <si>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</si>
  <si>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</si>
  <si>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</si>
  <si>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</si>
  <si>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</si>
  <si>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</si>
  <si>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</si>
  <si>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</si>
  <si>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</si>
  <si>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</si>
  <si>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</si>
  <si>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</si>
  <si>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</si>
  <si>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</si>
  <si>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</si>
  <si>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</si>
  <si>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</si>
  <si>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</si>
  <si>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</si>
  <si>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</si>
  <si>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</si>
  <si>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</si>
  <si>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</si>
  <si>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</si>
  <si>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</si>
  <si>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</si>
  <si>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</si>
  <si>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</si>
  <si>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</si>
  <si>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</si>
  <si>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</si>
  <si>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</si>
  <si>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</si>
  <si>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</si>
  <si>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</si>
  <si>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</si>
  <si>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</si>
  <si>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</si>
  <si>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</si>
  <si>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</si>
  <si>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</si>
  <si>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</si>
  <si>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</si>
  <si>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</si>
  <si>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</si>
  <si>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</si>
  <si>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</si>
  <si>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</si>
  <si>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</si>
  <si>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</si>
  <si>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</si>
  <si>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</si>
  <si>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</si>
  <si>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</si>
  <si>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</si>
  <si>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</si>
  <si>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</si>
  <si>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</si>
  <si>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</si>
  <si>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</si>
  <si>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</si>
  <si>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</si>
  <si>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</si>
  <si>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</si>
  <si>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</si>
  <si>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</si>
  <si>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</si>
  <si>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</si>
  <si>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</si>
  <si>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</si>
  <si>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</si>
  <si>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</si>
  <si>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</si>
  <si>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</si>
  <si>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</si>
  <si>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</si>
  <si>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</si>
  <si>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</si>
  <si>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</si>
  <si>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</si>
  <si>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</si>
  <si>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</si>
  <si>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</si>
  <si>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</si>
  <si>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</si>
  <si>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</si>
  <si>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</si>
  <si>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</si>
  <si>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</si>
  <si>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</si>
  <si>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</si>
  <si>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</si>
  <si>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</si>
  <si>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</si>
  <si>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</si>
  <si>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</si>
  <si>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</si>
  <si>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</si>
  <si>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</si>
  <si>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</si>
  <si>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</si>
  <si>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</si>
  <si>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</si>
  <si>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</si>
  <si>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</si>
  <si>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</si>
  <si>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</si>
  <si>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</si>
  <si>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</si>
  <si>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</si>
  <si>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</si>
  <si>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</si>
  <si>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</si>
  <si>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</si>
  <si>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</si>
  <si>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</si>
  <si>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</si>
  <si>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</si>
  <si>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</si>
  <si>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</si>
  <si>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</si>
  <si>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</si>
  <si>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</si>
  <si>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</si>
  <si>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</si>
  <si>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</si>
  <si>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</si>
  <si>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</si>
  <si>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</si>
  <si>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</si>
  <si>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</si>
  <si>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</si>
  <si>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</si>
  <si>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</si>
  <si>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</si>
  <si>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</si>
  <si>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</si>
  <si>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</si>
  <si>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</si>
  <si>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</si>
  <si>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</si>
  <si>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</si>
  <si>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</si>
  <si>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</si>
  <si>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</si>
  <si>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</si>
  <si>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</si>
  <si>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</si>
  <si>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</si>
  <si>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</si>
  <si>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</si>
  <si>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</si>
  <si>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</si>
  <si>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</si>
  <si>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</si>
  <si>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</si>
  <si>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</si>
  <si>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</si>
  <si>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</si>
  <si>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</si>
  <si>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</si>
  <si>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</si>
  <si>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</si>
  <si>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</si>
  <si>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</si>
  <si>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</si>
  <si>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</si>
  <si>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</si>
  <si>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</si>
  <si>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</si>
  <si>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</si>
  <si>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</si>
  <si>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</si>
  <si>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</si>
  <si>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</si>
  <si>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</si>
  <si>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</si>
  <si>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</si>
  <si>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</si>
  <si>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</si>
  <si>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</si>
  <si>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</si>
  <si>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</si>
  <si>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</si>
  <si>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</si>
  <si>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</si>
  <si>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</si>
  <si>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</si>
  <si>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</si>
  <si>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</si>
  <si>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</si>
  <si>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</si>
  <si>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</si>
  <si>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</si>
  <si>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</si>
  <si>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</si>
  <si>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</si>
  <si>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</si>
  <si>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</si>
  <si>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</si>
  <si>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</si>
  <si>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</si>
  <si>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</si>
  <si>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</si>
  <si>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</si>
  <si>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</si>
  <si>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</si>
  <si>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</si>
  <si>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</si>
  <si>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</si>
  <si>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</si>
  <si>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</si>
  <si>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</si>
  <si>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</si>
  <si>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</si>
  <si>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</si>
  <si>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</si>
  <si>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</si>
  <si>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</si>
  <si>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</si>
  <si>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</si>
  <si>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</si>
  <si>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</si>
  <si>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</si>
  <si>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</si>
  <si>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</si>
  <si>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</si>
  <si>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</si>
  <si>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</si>
  <si>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</si>
  <si>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</si>
  <si>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</si>
  <si>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</si>
  <si>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</si>
  <si>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</si>
  <si>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</si>
  <si>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</si>
  <si>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</si>
  <si>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</si>
  <si>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</si>
  <si>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</si>
  <si>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</si>
  <si>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</si>
  <si>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</si>
  <si>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</si>
  <si>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</si>
  <si>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</si>
  <si>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</si>
  <si>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</si>
  <si>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</si>
  <si>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</si>
  <si>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</si>
  <si>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</si>
  <si>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</si>
  <si>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</si>
  <si>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</si>
  <si>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</si>
  <si>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</si>
  <si>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</si>
  <si>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</si>
  <si>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</si>
  <si>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</si>
  <si>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</si>
  <si>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</si>
  <si>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</si>
  <si>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</si>
  <si>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</si>
  <si>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</si>
  <si>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</si>
  <si>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</si>
  <si>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</si>
  <si>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</si>
  <si>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</si>
  <si>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</si>
  <si>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</si>
  <si>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</si>
  <si>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</si>
  <si>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</si>
  <si>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</si>
  <si>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</si>
  <si>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</si>
  <si>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</si>
  <si>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</si>
  <si>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</si>
  <si>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</si>
  <si>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</si>
  <si>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</si>
  <si>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</si>
  <si>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</si>
  <si>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</si>
  <si>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</si>
  <si>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</si>
  <si>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</si>
  <si>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</si>
  <si>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</si>
  <si>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</si>
  <si>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</si>
  <si>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</si>
  <si>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</si>
  <si>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</si>
  <si>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</si>
  <si>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</si>
  <si>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</si>
  <si>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</si>
  <si>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</si>
  <si>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</si>
  <si>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</si>
  <si>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</si>
  <si>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</si>
  <si>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</si>
  <si>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</si>
  <si>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</si>
  <si>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</si>
  <si>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</si>
  <si>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</si>
  <si>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</si>
  <si>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</si>
  <si>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</si>
  <si>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</si>
  <si>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</si>
  <si>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</si>
  <si>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</si>
  <si>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</si>
  <si>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</si>
  <si>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</si>
  <si>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</si>
  <si>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</si>
  <si>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</si>
  <si>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</si>
  <si>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</si>
  <si>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</si>
  <si>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</si>
  <si>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</si>
  <si>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</si>
  <si>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</si>
  <si>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</si>
  <si>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</si>
  <si>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</si>
  <si>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</si>
  <si>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</si>
  <si>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</si>
  <si>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</si>
  <si>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</si>
  <si>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</si>
  <si>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</si>
  <si>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</si>
  <si>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</si>
  <si>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</si>
  <si>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</si>
  <si>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</si>
  <si>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</si>
  <si>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</si>
  <si>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</si>
  <si>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</si>
  <si>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</si>
  <si>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</si>
  <si>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</si>
  <si>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</si>
  <si>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</si>
  <si>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</si>
  <si>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</si>
  <si>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</si>
  <si>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</si>
  <si>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</si>
  <si>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</si>
  <si>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</si>
  <si>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</si>
  <si>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</si>
  <si>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</si>
  <si>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</si>
  <si>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</si>
  <si>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</si>
  <si>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</si>
  <si>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</si>
  <si>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</si>
  <si>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</si>
  <si>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</si>
  <si>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</si>
  <si>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</si>
  <si>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</si>
  <si>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</si>
  <si>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</si>
  <si>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</si>
  <si>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</si>
  <si>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</si>
  <si>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</si>
  <si>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</si>
  <si>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</si>
  <si>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</si>
  <si>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</si>
  <si>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</si>
  <si>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</si>
  <si>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</si>
  <si>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</si>
  <si>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</si>
  <si>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</si>
  <si>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</si>
  <si>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</si>
  <si>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</si>
  <si>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</si>
  <si>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</si>
  <si>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</si>
  <si>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</si>
  <si>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</si>
  <si>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</si>
  <si>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</si>
  <si>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</si>
  <si>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</si>
  <si>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</si>
  <si>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</si>
  <si>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</si>
  <si>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</si>
  <si>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</si>
  <si>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</si>
  <si>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</si>
  <si>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</si>
  <si>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</si>
  <si>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</si>
  <si>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</si>
  <si>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</si>
  <si>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</si>
  <si>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</si>
  <si>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</si>
  <si>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</si>
  <si>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</si>
  <si>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</si>
  <si>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</si>
  <si>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</si>
  <si>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</si>
  <si>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</si>
  <si>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</si>
  <si>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</si>
  <si>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</si>
  <si>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</si>
  <si>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</si>
  <si>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</si>
  <si>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</si>
  <si>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</si>
  <si>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</si>
  <si>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</si>
  <si>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</si>
  <si>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</si>
  <si>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</si>
  <si>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</si>
  <si>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</si>
  <si>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</si>
  <si>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</si>
  <si>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</si>
  <si>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</si>
  <si>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</si>
  <si>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</si>
  <si>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</si>
  <si>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</si>
  <si>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</si>
  <si>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</si>
  <si>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</si>
  <si>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</si>
  <si>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</si>
  <si>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</si>
  <si>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</si>
  <si>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</si>
  <si>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</si>
  <si>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</si>
  <si>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</si>
  <si>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</si>
  <si>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</si>
  <si>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</si>
  <si>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</si>
  <si>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</si>
  <si>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</si>
  <si>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</si>
  <si>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</si>
  <si>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</si>
  <si>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</si>
  <si>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</si>
  <si>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</si>
  <si>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</si>
  <si>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</si>
  <si>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</si>
  <si>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</si>
  <si>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</si>
  <si>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</si>
  <si>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</si>
  <si>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</si>
  <si>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</si>
  <si>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</si>
  <si>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</si>
  <si>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</si>
  <si>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</si>
  <si>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</si>
  <si>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</si>
  <si>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</si>
  <si>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</si>
  <si>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</si>
  <si>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</si>
  <si>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</si>
  <si>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</si>
  <si>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</si>
  <si>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</si>
  <si>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</si>
  <si>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</si>
  <si>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</si>
  <si>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</si>
  <si>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</si>
  <si>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</si>
  <si>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</si>
  <si>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</si>
  <si>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</si>
  <si>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</si>
  <si>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</si>
  <si>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</si>
  <si>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</si>
  <si>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</si>
  <si>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</si>
  <si>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</si>
  <si>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</si>
  <si>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</si>
  <si>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</si>
  <si>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</si>
  <si>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</si>
  <si>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</si>
  <si>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</si>
  <si>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</si>
  <si>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</si>
  <si>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</si>
  <si>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</si>
  <si>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</si>
  <si>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</si>
  <si>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</si>
  <si>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</si>
  <si>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</si>
  <si>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</si>
  <si>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</si>
  <si>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</si>
  <si>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</si>
  <si>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</si>
  <si>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</si>
  <si>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</si>
  <si>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</si>
  <si>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</si>
  <si>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</si>
  <si>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</si>
  <si>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</si>
  <si>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</si>
  <si>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</si>
  <si>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</si>
  <si>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</si>
  <si>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</si>
  <si>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</si>
  <si>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</si>
  <si>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</si>
  <si>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</si>
  <si>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</si>
  <si>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</si>
  <si>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</si>
  <si>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</si>
  <si>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</si>
  <si>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</si>
  <si>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</si>
  <si>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</si>
  <si>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</si>
  <si>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</si>
  <si>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</si>
  <si>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</si>
  <si>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</si>
  <si>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</si>
  <si>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</si>
  <si>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</si>
  <si>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</si>
  <si>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</si>
  <si>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</si>
  <si>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</si>
  <si>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</si>
  <si>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</si>
  <si>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</si>
  <si>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</si>
  <si>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</si>
  <si>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</si>
  <si>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</si>
  <si>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</si>
  <si>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</si>
  <si>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</si>
  <si>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</si>
  <si>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</si>
  <si>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</si>
  <si>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</si>
  <si>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</si>
  <si>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</si>
  <si>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</si>
  <si>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</si>
  <si>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</si>
  <si>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</si>
  <si>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</si>
  <si>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</si>
  <si>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</si>
  <si>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</si>
  <si>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</si>
  <si>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</si>
  <si>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</si>
  <si>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</si>
  <si>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</si>
  <si>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</si>
  <si>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</si>
  <si>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</si>
  <si>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</si>
  <si>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</si>
  <si>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</si>
  <si>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</si>
  <si>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</si>
  <si>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</si>
  <si>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</si>
  <si>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</si>
  <si>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</si>
  <si>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</si>
  <si>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</si>
  <si>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</si>
  <si>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</si>
  <si>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</si>
  <si>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</si>
  <si>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</si>
  <si>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</si>
  <si>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</si>
  <si>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</si>
  <si>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</si>
  <si>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</si>
  <si>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</si>
  <si>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</si>
  <si>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</si>
  <si>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</si>
  <si>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</si>
  <si>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</si>
  <si>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</si>
  <si>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</si>
  <si>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</si>
  <si>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</si>
  <si>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</si>
  <si>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</si>
  <si>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</si>
  <si>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</si>
  <si>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</si>
  <si>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</si>
  <si>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</si>
  <si>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</si>
  <si>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</si>
  <si>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</si>
  <si>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</si>
  <si>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</si>
  <si>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</si>
  <si>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</si>
  <si>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</si>
  <si>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</si>
  <si>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</si>
  <si>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</si>
  <si>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</si>
  <si>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</si>
  <si>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</si>
  <si>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</si>
  <si>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</si>
  <si>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</si>
  <si>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</si>
  <si>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</si>
  <si>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</si>
  <si>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</si>
  <si>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</si>
  <si>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</si>
  <si>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</si>
  <si>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</si>
  <si>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</si>
  <si>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</si>
  <si>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</si>
  <si>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</si>
  <si>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</si>
  <si>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</si>
  <si>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</si>
  <si>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</si>
  <si>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</si>
  <si>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</si>
  <si>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</si>
  <si>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</si>
  <si>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</si>
  <si>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</si>
  <si>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</si>
  <si>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</si>
  <si>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</si>
  <si>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</si>
  <si>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</si>
  <si>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</si>
  <si>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</si>
  <si>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</si>
  <si>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</si>
  <si>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</si>
  <si>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</si>
  <si>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</si>
  <si>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</si>
  <si>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</si>
  <si>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</si>
  <si>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</si>
  <si>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</si>
  <si>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</si>
  <si>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</si>
  <si>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</si>
  <si>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</si>
  <si>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</si>
  <si>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</si>
  <si>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</si>
  <si>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</si>
  <si>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</si>
  <si>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</si>
  <si>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</si>
  <si>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</si>
  <si>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</si>
  <si>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</si>
  <si>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</si>
  <si>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</si>
  <si>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</si>
  <si>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</si>
  <si>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</si>
  <si>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</si>
  <si>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</si>
  <si>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</si>
  <si>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</si>
  <si>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</si>
  <si>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</si>
  <si>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</si>
  <si>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</si>
  <si>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</si>
  <si>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</si>
  <si>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</si>
  <si>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</si>
  <si>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</si>
  <si>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</si>
  <si>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</si>
  <si>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</si>
  <si>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</si>
  <si>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</si>
  <si>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</si>
  <si>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</si>
  <si>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</si>
  <si>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</si>
  <si>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</si>
  <si>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</si>
  <si>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</si>
  <si>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</si>
  <si>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</si>
  <si>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</si>
  <si>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</si>
  <si>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</si>
  <si>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</si>
  <si>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</si>
  <si>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</si>
  <si>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</si>
  <si>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</si>
  <si>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</si>
  <si>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</si>
  <si>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</si>
  <si>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</si>
  <si>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</si>
  <si>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</si>
  <si>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</si>
  <si>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</si>
  <si>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</si>
  <si>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</si>
  <si>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</si>
  <si>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</si>
  <si>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</si>
  <si>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</si>
  <si>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</si>
  <si>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</si>
  <si>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</si>
  <si>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</si>
  <si>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</si>
  <si>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</si>
  <si>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</si>
  <si>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</si>
  <si>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</si>
  <si>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</si>
  <si>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</si>
  <si>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</si>
  <si>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</si>
  <si>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</si>
  <si>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</si>
  <si>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</si>
  <si>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</si>
  <si>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</si>
  <si>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</si>
  <si>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</si>
  <si>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</si>
  <si>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</si>
  <si>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</si>
  <si>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</si>
  <si>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</si>
  <si>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</si>
  <si>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</si>
  <si>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</si>
  <si>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</si>
  <si>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</si>
  <si>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</si>
  <si>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</si>
  <si>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</si>
  <si>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</si>
  <si>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</si>
  <si>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</si>
  <si>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</si>
  <si>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</si>
  <si>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</si>
  <si>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</si>
  <si>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</si>
  <si>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</si>
  <si>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</si>
  <si>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</si>
  <si>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</si>
  <si>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</si>
  <si>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</si>
  <si>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</si>
  <si>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</si>
  <si>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</si>
  <si>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</si>
  <si>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</si>
  <si>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</si>
  <si>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</si>
  <si>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</si>
  <si>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</si>
  <si>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</si>
  <si>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</si>
  <si>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</si>
  <si>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</si>
  <si>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</si>
  <si>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</si>
  <si>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</si>
  <si>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</si>
  <si>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</si>
  <si>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</si>
  <si>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</si>
  <si>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</si>
  <si>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</si>
  <si>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</si>
  <si>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</si>
  <si>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</si>
  <si>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</si>
  <si>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</si>
  <si>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</si>
  <si>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</si>
  <si>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</si>
  <si>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</si>
  <si>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</si>
  <si>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</si>
  <si>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</si>
  <si>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</si>
  <si>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</si>
  <si>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</si>
  <si>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</si>
  <si>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</si>
  <si>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</si>
  <si>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</si>
  <si>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</si>
  <si>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</si>
  <si>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</si>
  <si>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</si>
  <si>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</si>
  <si>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</si>
  <si>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</si>
  <si>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</si>
  <si>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</si>
  <si>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</si>
  <si>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</si>
  <si>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</si>
  <si>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</si>
  <si>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</si>
  <si>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</si>
  <si>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</si>
  <si>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</si>
  <si>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</si>
  <si>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</si>
  <si>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</si>
  <si>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</si>
  <si>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</si>
  <si>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</si>
  <si>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</si>
  <si>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</si>
  <si>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</si>
  <si>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</si>
  <si>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</si>
  <si>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</si>
  <si>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</si>
  <si>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</si>
  <si>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</si>
  <si>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</si>
  <si>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</si>
  <si>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</si>
  <si>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</si>
  <si>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</si>
  <si>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</si>
  <si>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</si>
  <si>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</si>
  <si>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</si>
  <si>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</si>
  <si>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</si>
  <si>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</si>
  <si>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</si>
  <si>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</si>
  <si>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</si>
  <si>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</si>
  <si>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</si>
  <si>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</si>
  <si>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</si>
  <si>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</si>
  <si>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</si>
  <si>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</si>
  <si>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</si>
  <si>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</si>
  <si>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</si>
  <si>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</si>
  <si>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</si>
  <si>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</si>
  <si>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</si>
  <si>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</si>
  <si>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</si>
  <si>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</si>
  <si>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</si>
  <si>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</si>
  <si>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</si>
  <si>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</si>
  <si>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</si>
  <si>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</si>
  <si>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</si>
  <si>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</si>
  <si>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</si>
  <si>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</si>
  <si>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</si>
  <si>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</si>
  <si>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</si>
  <si>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</si>
  <si>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</si>
  <si>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</si>
  <si>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</si>
  <si>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</si>
  <si>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</si>
  <si>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</si>
  <si>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</si>
  <si>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</si>
  <si>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</si>
  <si>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</si>
  <si>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</si>
  <si>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</si>
  <si>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</si>
  <si>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</si>
  <si>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</si>
  <si>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</si>
  <si>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</si>
  <si>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</si>
  <si>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</si>
  <si>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</si>
  <si>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</si>
  <si>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</si>
  <si>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</si>
  <si>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</si>
  <si>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</si>
  <si>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</si>
  <si>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</si>
  <si>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</si>
  <si>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</si>
  <si>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</si>
  <si>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</si>
  <si>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</si>
  <si>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</si>
  <si>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</si>
  <si>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</si>
  <si>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</si>
  <si>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</si>
  <si>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</si>
  <si>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</si>
  <si>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</si>
  <si>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</si>
  <si>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</si>
  <si>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</si>
  <si>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</si>
  <si>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</si>
  <si>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</si>
  <si>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</si>
  <si>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</si>
  <si>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</si>
  <si>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</si>
  <si>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</si>
  <si>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</si>
  <si>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</si>
  <si>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</si>
  <si>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</si>
  <si>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</si>
  <si>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</si>
  <si>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</si>
  <si>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</si>
  <si>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</si>
  <si>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</si>
  <si>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</si>
  <si>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</si>
  <si>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</si>
  <si>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</si>
  <si>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</si>
  <si>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</si>
  <si>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</si>
  <si>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</si>
  <si>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</si>
  <si>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</si>
  <si>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</si>
  <si>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</si>
  <si>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</si>
  <si>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</si>
  <si>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</si>
  <si>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</si>
  <si>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</si>
  <si>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</si>
  <si>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</si>
  <si>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</si>
  <si>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</si>
  <si>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</si>
  <si>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</si>
  <si>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</si>
  <si>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</si>
  <si>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</si>
  <si>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</si>
  <si>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</si>
  <si>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</si>
  <si>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</si>
  <si>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</si>
  <si>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</si>
  <si>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</si>
  <si>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</si>
  <si>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</si>
  <si>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</si>
  <si>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</si>
  <si>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</si>
  <si>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</si>
  <si>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</si>
  <si>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</si>
  <si>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</si>
  <si>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</si>
  <si>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</si>
  <si>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</si>
  <si>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</si>
  <si>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</si>
  <si>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</si>
  <si>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</si>
  <si>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</si>
  <si>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</si>
  <si>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</si>
  <si>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</si>
  <si>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</si>
  <si>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</si>
  <si>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</si>
  <si>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</si>
  <si>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</si>
  <si>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</si>
  <si>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</si>
  <si>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</si>
  <si>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</si>
  <si>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</si>
  <si>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</si>
  <si>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</si>
  <si>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</si>
  <si>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</si>
  <si>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</si>
  <si>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</si>
  <si>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</si>
  <si>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</si>
  <si>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</si>
  <si>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</si>
  <si>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</si>
  <si>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</si>
  <si>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</si>
  <si>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</si>
  <si>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</si>
  <si>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</si>
  <si>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</si>
  <si>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</si>
  <si>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</si>
  <si>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</si>
  <si>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</si>
  <si>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</si>
  <si>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</si>
  <si>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</si>
  <si>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</si>
  <si>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</si>
  <si>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</si>
  <si>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</si>
  <si>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</si>
  <si>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</si>
  <si>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</si>
  <si>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</si>
  <si>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</si>
  <si>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</si>
  <si>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</si>
  <si>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</si>
  <si>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</si>
  <si>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</si>
  <si>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</si>
  <si>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</si>
  <si>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</si>
  <si>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</si>
  <si>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</si>
  <si>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</si>
  <si>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</si>
  <si>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</si>
  <si>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</si>
  <si>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</si>
  <si>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</si>
  <si>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</si>
  <si>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</si>
  <si>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</si>
  <si>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</si>
  <si>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</si>
  <si>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</si>
  <si>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</si>
  <si>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</si>
  <si>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</si>
  <si>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</si>
  <si>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</si>
  <si>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</si>
  <si>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</si>
  <si>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</si>
  <si>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</si>
  <si>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</si>
  <si>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</si>
  <si>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</si>
  <si>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</si>
  <si>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</si>
  <si>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</si>
  <si>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</si>
  <si>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</si>
  <si>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</si>
  <si>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</si>
  <si>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</si>
  <si>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</si>
  <si>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</si>
  <si>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</si>
  <si>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</si>
  <si>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</si>
  <si>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</si>
  <si>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</si>
  <si>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</si>
  <si>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</si>
  <si>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</si>
  <si>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</si>
  <si>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</si>
  <si>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</si>
  <si>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</si>
  <si>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</si>
  <si>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</si>
  <si>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</si>
  <si>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</si>
  <si>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</si>
  <si>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</si>
  <si>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</si>
  <si>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</si>
  <si>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</si>
  <si>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</si>
  <si>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</si>
  <si>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</si>
  <si>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</si>
  <si>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</si>
  <si>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</si>
  <si>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</si>
  <si>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</si>
  <si>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</si>
  <si>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</si>
  <si>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</si>
  <si>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</si>
  <si>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</si>
  <si>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</si>
  <si>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</si>
  <si>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</si>
  <si>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</si>
  <si>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</si>
  <si>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</si>
  <si>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</si>
  <si>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</si>
  <si>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</si>
  <si>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</si>
  <si>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</si>
  <si>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</si>
  <si>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</si>
  <si>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</si>
  <si>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</si>
  <si>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</si>
  <si>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</si>
  <si>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</si>
  <si>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</si>
  <si>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</si>
  <si>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</si>
  <si>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</si>
  <si>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</si>
  <si>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</si>
  <si>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</si>
  <si>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</si>
  <si>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</si>
  <si>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</si>
  <si>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</si>
  <si>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</si>
  <si>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</si>
  <si>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</si>
  <si>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</si>
  <si>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</si>
  <si>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</si>
  <si>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</si>
  <si>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</si>
  <si>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</si>
  <si>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</si>
  <si>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</si>
  <si>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</si>
  <si>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</si>
  <si>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</si>
  <si>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</si>
  <si>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</si>
  <si>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</si>
  <si>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</si>
  <si>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</si>
  <si>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</si>
  <si>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</si>
  <si>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</si>
  <si>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</si>
  <si>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</si>
  <si>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</si>
  <si>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</si>
  <si>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</si>
  <si>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</si>
  <si>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</si>
  <si>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</si>
  <si>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</si>
  <si>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</si>
  <si>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</si>
  <si>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</si>
  <si>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</si>
  <si>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</si>
  <si>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</si>
  <si>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</si>
  <si>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</si>
  <si>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</si>
  <si>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</si>
  <si>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</si>
  <si>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</si>
  <si>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</si>
  <si>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</si>
  <si>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</si>
  <si>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</si>
  <si>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</si>
  <si>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</si>
  <si>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</si>
  <si>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</si>
  <si>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</si>
  <si>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</si>
  <si>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</si>
  <si>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</si>
  <si>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</si>
  <si>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</si>
  <si>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</si>
  <si>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</si>
  <si>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</si>
  <si>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</si>
  <si>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</si>
  <si>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</si>
  <si>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</si>
  <si>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</si>
  <si>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</si>
  <si>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</si>
  <si>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</si>
  <si>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</si>
  <si>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</si>
  <si>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</si>
  <si>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</si>
  <si>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</si>
  <si>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</si>
  <si>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</si>
  <si>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</si>
  <si>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</si>
  <si>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</si>
  <si>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</si>
  <si>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</si>
  <si>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</si>
  <si>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</si>
  <si>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</si>
  <si>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</si>
  <si>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</si>
  <si>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</si>
  <si>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</si>
  <si>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</si>
  <si>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</si>
  <si>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</si>
  <si>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</si>
  <si>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</si>
  <si>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</si>
  <si>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</si>
  <si>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</si>
  <si>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</si>
  <si>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</si>
  <si>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</si>
  <si>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</si>
  <si>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</si>
  <si>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</si>
  <si>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</si>
  <si>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</si>
  <si>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</si>
  <si>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</si>
  <si>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</si>
  <si>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</si>
  <si>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</si>
  <si>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</si>
  <si>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</si>
  <si>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</si>
  <si>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</si>
  <si>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</si>
  <si>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</si>
  <si>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</si>
  <si>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</si>
  <si>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</si>
  <si>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</si>
  <si>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</si>
  <si>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</si>
  <si>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</si>
  <si>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</si>
  <si>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</si>
  <si>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</si>
  <si>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</si>
  <si>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</si>
  <si>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</si>
  <si>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</si>
  <si>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</si>
  <si>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</si>
  <si>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</si>
  <si>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</si>
  <si>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</si>
  <si>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</si>
  <si>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</si>
  <si>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</si>
  <si>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</si>
  <si>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</si>
  <si>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</si>
  <si>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</si>
  <si>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</si>
  <si>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</si>
  <si>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</si>
  <si>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</si>
  <si>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</si>
  <si>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</si>
  <si>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</si>
  <si>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</si>
  <si>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</si>
  <si>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</si>
  <si>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</si>
  <si>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</si>
  <si>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</si>
  <si>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</si>
  <si>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</si>
  <si>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</si>
  <si>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</si>
  <si>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</si>
  <si>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</si>
  <si>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</si>
  <si>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</si>
  <si>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</si>
  <si>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</si>
  <si>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</si>
  <si>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</si>
  <si>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</si>
  <si>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</si>
  <si>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</si>
  <si>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</si>
  <si>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</si>
  <si>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</si>
  <si>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</si>
  <si>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</si>
  <si>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</si>
  <si>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</si>
  <si>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</si>
  <si>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</si>
  <si>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</si>
  <si>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</si>
  <si>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</si>
  <si>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</si>
  <si>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</si>
  <si>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</si>
  <si>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</si>
  <si>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</si>
  <si>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</si>
  <si>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</si>
  <si>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</si>
  <si>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</si>
  <si>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</si>
  <si>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</si>
  <si>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</si>
  <si>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</si>
  <si>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</si>
  <si>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</si>
  <si>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</si>
  <si>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</si>
  <si>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</si>
  <si>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</si>
  <si>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</si>
  <si>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</si>
  <si>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</si>
  <si>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</si>
  <si>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</si>
  <si>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</si>
  <si>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</si>
  <si>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</si>
  <si>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</si>
  <si>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</si>
  <si>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</si>
  <si>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</si>
  <si>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</si>
  <si>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</si>
  <si>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</si>
  <si>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</si>
  <si>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</si>
  <si>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</si>
  <si>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</si>
  <si>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</si>
  <si>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</si>
  <si>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</si>
  <si>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</si>
  <si>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</si>
  <si>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</si>
  <si>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</si>
  <si>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</si>
  <si>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</si>
  <si>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</si>
  <si>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</si>
  <si>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</si>
  <si>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</si>
  <si>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</si>
  <si>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</si>
  <si>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</si>
  <si>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</si>
  <si>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</si>
  <si>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</si>
  <si>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</si>
  <si>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</si>
  <si>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</si>
  <si>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</si>
  <si>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</si>
  <si>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</si>
  <si>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</si>
  <si>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</si>
  <si>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</si>
  <si>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</si>
  <si>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</si>
  <si>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</si>
  <si>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</si>
  <si>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</si>
  <si>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</si>
  <si>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</si>
  <si>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</si>
  <si>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</si>
  <si>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</si>
  <si>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</si>
  <si>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</si>
  <si>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</si>
  <si>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</si>
  <si>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</si>
  <si>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</si>
  <si>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</si>
  <si>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</si>
  <si>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</si>
  <si>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</si>
  <si>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</si>
  <si>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</si>
  <si>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</si>
  <si>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</si>
  <si>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</si>
  <si>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</si>
  <si>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</si>
  <si>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</si>
  <si>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</si>
  <si>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</si>
  <si>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</si>
  <si>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</si>
  <si>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</si>
  <si>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</si>
  <si>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</si>
  <si>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</si>
  <si>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</si>
  <si>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</si>
  <si>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</si>
  <si>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</si>
  <si>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</si>
  <si>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</si>
  <si>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</si>
  <si>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</si>
  <si>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</si>
  <si>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</si>
  <si>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</si>
  <si>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</si>
  <si>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</si>
  <si>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</si>
  <si>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</si>
  <si>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</si>
  <si>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</si>
  <si>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</si>
  <si>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</si>
  <si>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</si>
  <si>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</si>
  <si>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</si>
  <si>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</si>
  <si>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</si>
  <si>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</si>
  <si>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</si>
  <si>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</si>
  <si>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</si>
  <si>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</si>
  <si>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</si>
  <si>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</si>
  <si>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</si>
  <si>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</si>
  <si>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</si>
  <si>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</si>
  <si>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</si>
  <si>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</si>
  <si>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</si>
  <si>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</si>
  <si>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</si>
  <si>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</si>
  <si>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</si>
  <si>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</si>
  <si>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</si>
  <si>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</si>
  <si>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</si>
  <si>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</si>
  <si>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</si>
  <si>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</si>
  <si>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</si>
  <si>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</si>
  <si>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</si>
  <si>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</si>
  <si>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</si>
  <si>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</si>
  <si>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</si>
  <si>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</si>
  <si>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</si>
  <si>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</si>
  <si>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</si>
  <si>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</si>
  <si>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</si>
  <si>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</si>
  <si>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</si>
  <si>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</si>
  <si>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</si>
  <si>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</si>
  <si>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</si>
  <si>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</si>
  <si>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</si>
  <si>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</si>
  <si>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</si>
  <si>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</si>
  <si>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</si>
  <si>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</si>
  <si>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</si>
  <si>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</si>
  <si>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</si>
  <si>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</si>
  <si>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</si>
  <si>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</si>
  <si>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</si>
  <si>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</si>
  <si>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</si>
  <si>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</si>
  <si>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</si>
  <si>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</si>
  <si>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</si>
  <si>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</si>
  <si>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</si>
  <si>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</si>
  <si>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</si>
  <si>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</si>
  <si>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</si>
  <si>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</si>
  <si>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</si>
  <si>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</si>
  <si>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</si>
  <si>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</si>
  <si>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</si>
  <si>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</si>
  <si>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</si>
  <si>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</si>
  <si>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</si>
  <si>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</si>
  <si>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</si>
  <si>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</si>
  <si>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</si>
  <si>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</si>
  <si>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</si>
  <si>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</si>
  <si>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</si>
  <si>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</si>
  <si>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</si>
  <si>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</si>
  <si>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</si>
  <si>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</si>
  <si>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</si>
  <si>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</si>
  <si>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</si>
  <si>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</si>
  <si>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</si>
  <si>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</si>
  <si>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</si>
  <si>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</si>
  <si>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</si>
  <si>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</si>
  <si>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</si>
  <si>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</si>
  <si>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</si>
  <si>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</si>
  <si>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</si>
  <si>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</si>
  <si>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</si>
  <si>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</si>
  <si>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</si>
  <si>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</si>
  <si>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</si>
  <si>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</si>
  <si>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</si>
  <si>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</si>
  <si>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</si>
  <si>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</si>
  <si>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</si>
  <si>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</si>
  <si>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</si>
  <si>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</si>
  <si>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</si>
  <si>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</si>
  <si>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</si>
  <si>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</si>
  <si>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</si>
  <si>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</si>
  <si>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</si>
  <si>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</si>
  <si>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</si>
  <si>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</si>
  <si>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</si>
  <si>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</si>
  <si>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</si>
  <si>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</si>
  <si>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</si>
  <si>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</si>
  <si>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</si>
  <si>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</si>
  <si>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</si>
  <si>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</si>
  <si>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</si>
  <si>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</si>
  <si>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</si>
  <si>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</si>
  <si>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</si>
  <si>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</si>
  <si>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</si>
  <si>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</si>
  <si>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</si>
  <si>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</si>
  <si>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</si>
  <si>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</si>
  <si>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</si>
  <si>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</si>
  <si>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</si>
  <si>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</si>
  <si>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</si>
  <si>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</si>
  <si>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</si>
  <si>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</si>
  <si>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</si>
  <si>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</si>
  <si>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</si>
  <si>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</si>
  <si>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</si>
  <si>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</si>
  <si>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</si>
  <si>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</si>
  <si>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</si>
  <si>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</si>
  <si>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</si>
  <si>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</si>
  <si>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</si>
  <si>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</si>
  <si>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</si>
  <si>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</si>
  <si>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</si>
  <si>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</si>
  <si>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</si>
  <si>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</si>
  <si>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</si>
  <si>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</si>
  <si>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</si>
  <si>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</si>
  <si>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</si>
  <si>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</si>
  <si>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</si>
  <si>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</si>
  <si>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</si>
  <si>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</si>
  <si>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</si>
  <si>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</si>
  <si>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</si>
  <si>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</si>
  <si>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</si>
  <si>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</si>
  <si>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</si>
  <si>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</si>
  <si>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</si>
  <si>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</si>
  <si>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</si>
  <si>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</si>
  <si>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</si>
  <si>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</si>
  <si>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</si>
  <si>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</si>
  <si>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</si>
  <si>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</si>
  <si>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</si>
  <si>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</si>
  <si>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</si>
  <si>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</si>
  <si>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</si>
  <si>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</si>
  <si>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</si>
  <si>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</si>
  <si>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</si>
  <si>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</si>
  <si>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</si>
  <si>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</si>
  <si>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</si>
  <si>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</si>
  <si>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</si>
  <si>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</si>
  <si>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</si>
  <si>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</si>
  <si>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</si>
  <si>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</si>
  <si>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</si>
  <si>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</si>
  <si>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</si>
  <si>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</si>
  <si>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</si>
  <si>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</si>
  <si>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</si>
  <si>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</si>
  <si>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</si>
  <si>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</si>
  <si>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</si>
  <si>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</si>
  <si>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</si>
  <si>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</si>
  <si>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</si>
  <si>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</si>
  <si>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</si>
  <si>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</si>
  <si>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</si>
  <si>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</si>
  <si>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</si>
  <si>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</si>
  <si>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</si>
  <si>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</si>
  <si>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</si>
  <si>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</si>
  <si>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</si>
  <si>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</si>
  <si>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</si>
  <si>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</si>
  <si>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</si>
  <si>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</si>
  <si>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</si>
  <si>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</si>
  <si>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</si>
  <si>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</si>
  <si>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</si>
  <si>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</si>
  <si>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</si>
  <si>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</si>
  <si>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</si>
  <si>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</si>
  <si>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</si>
  <si>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</si>
  <si>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</si>
  <si>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</si>
  <si>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</si>
  <si>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</si>
  <si>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</si>
  <si>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</si>
  <si>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</si>
  <si>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</si>
  <si>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</si>
  <si>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</si>
  <si>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</si>
  <si>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</si>
  <si>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</si>
  <si>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</si>
  <si>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</si>
  <si>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</si>
  <si>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</si>
  <si>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</si>
  <si>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</si>
  <si>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</si>
  <si>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</si>
  <si>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</si>
  <si>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</si>
  <si>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</si>
  <si>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</si>
  <si>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</si>
  <si>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</si>
  <si>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</si>
  <si>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</si>
  <si>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</si>
  <si>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</si>
  <si>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</si>
  <si>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</si>
  <si>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</si>
  <si>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</si>
  <si>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</si>
  <si>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</si>
  <si>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</si>
  <si>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</si>
  <si>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</si>
  <si>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</si>
  <si>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</si>
  <si>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</si>
  <si>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</si>
  <si>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</si>
  <si>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</si>
  <si>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</si>
  <si>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</si>
  <si>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</si>
  <si>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</si>
  <si>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</si>
  <si>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</si>
  <si>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</si>
  <si>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</si>
  <si>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</si>
  <si>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</si>
  <si>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</si>
  <si>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</si>
  <si>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</si>
  <si>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</si>
  <si>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</si>
  <si>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</si>
  <si>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</si>
  <si>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</si>
  <si>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</si>
  <si>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</si>
  <si>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</si>
  <si>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</si>
  <si>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</si>
  <si>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</si>
  <si>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</si>
  <si>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</si>
  <si>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</si>
  <si>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</si>
  <si>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</si>
  <si>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</si>
  <si>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</si>
  <si>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</si>
  <si>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</si>
  <si>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</si>
  <si>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</si>
  <si>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</si>
  <si>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</si>
  <si>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</si>
  <si>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</si>
  <si>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</si>
  <si>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</si>
  <si>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</si>
  <si>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</si>
  <si>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</si>
  <si>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</si>
  <si>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</si>
  <si>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</si>
  <si>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</si>
  <si>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</si>
  <si>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</si>
  <si>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</si>
  <si>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</si>
  <si>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</si>
  <si>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</si>
  <si>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</si>
  <si>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</si>
  <si>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</si>
  <si>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</si>
  <si>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</si>
  <si>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</si>
  <si>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</si>
  <si>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</si>
  <si>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</si>
  <si>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</si>
  <si>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</si>
  <si>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</si>
  <si>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</si>
  <si>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</si>
  <si>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</si>
  <si>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</si>
  <si>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</si>
  <si>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</si>
  <si>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</si>
  <si>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</si>
  <si>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</si>
  <si>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</si>
  <si>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</si>
  <si>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</si>
  <si>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</si>
  <si>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</si>
  <si>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</si>
  <si>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</si>
  <si>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</si>
  <si>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</si>
  <si>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</si>
  <si>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</si>
  <si>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</si>
  <si>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</si>
  <si>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</si>
  <si>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</si>
  <si>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</si>
  <si>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</si>
  <si>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</si>
  <si>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</si>
  <si>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</si>
  <si>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</si>
  <si>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</si>
  <si>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</si>
  <si>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</si>
  <si>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</si>
  <si>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</si>
  <si>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</si>
  <si>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</si>
  <si>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</si>
  <si>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</si>
  <si>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</si>
  <si>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</si>
  <si>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</si>
  <si>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</si>
  <si>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</si>
  <si>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</si>
  <si>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</si>
  <si>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</si>
  <si>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</si>
  <si>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</si>
  <si>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</si>
  <si>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</si>
  <si>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</si>
  <si>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</si>
  <si>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</si>
  <si>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</si>
  <si>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</si>
  <si>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</si>
  <si>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</si>
  <si>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</si>
  <si>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</si>
  <si>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</si>
  <si>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</si>
  <si>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</si>
  <si>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</si>
  <si>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</si>
  <si>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</si>
  <si>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</si>
  <si>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</si>
  <si>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</si>
  <si>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</si>
  <si>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</si>
  <si>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</si>
  <si>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</si>
  <si>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</si>
  <si>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</si>
  <si>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</si>
  <si>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</si>
  <si>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</si>
  <si>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</si>
  <si>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</si>
  <si>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</si>
  <si>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</si>
  <si>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</si>
  <si>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</si>
  <si>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</si>
  <si>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</si>
  <si>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</si>
  <si>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</si>
  <si>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</si>
  <si>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</si>
  <si>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</si>
  <si>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</si>
  <si>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</si>
  <si>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</si>
  <si>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</si>
  <si>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</si>
  <si>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</si>
  <si>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</si>
  <si>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</si>
  <si>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</si>
  <si>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</si>
  <si>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</si>
  <si>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</si>
  <si>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</si>
  <si>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</si>
  <si>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</si>
  <si>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</si>
  <si>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</si>
  <si>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</si>
  <si>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</si>
  <si>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</si>
  <si>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</si>
  <si>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</si>
  <si>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</si>
  <si>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</si>
  <si>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</si>
  <si>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</si>
  <si>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</si>
  <si>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</si>
  <si>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</si>
  <si>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</si>
  <si>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</si>
  <si>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</si>
  <si>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</si>
  <si>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</si>
  <si>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</si>
  <si>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</si>
  <si>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</si>
  <si>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</si>
  <si>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</si>
  <si>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</si>
  <si>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</si>
  <si>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</si>
  <si>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</si>
  <si>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</si>
  <si>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</si>
  <si>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</si>
  <si>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</si>
  <si>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</si>
  <si>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</si>
  <si>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</si>
  <si>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</si>
  <si>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</si>
  <si>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</si>
  <si>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</si>
  <si>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</si>
  <si>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</si>
  <si>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</si>
  <si>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</si>
  <si>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</si>
  <si>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</si>
  <si>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</si>
  <si>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</si>
  <si>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</si>
  <si>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</si>
  <si>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</si>
  <si>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</si>
  <si>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</si>
  <si>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</si>
  <si>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</si>
  <si>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</si>
  <si>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</si>
  <si>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</si>
  <si>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</si>
  <si>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</si>
  <si>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</si>
  <si>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</si>
  <si>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</si>
  <si>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</si>
  <si>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</si>
  <si>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</si>
  <si>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</si>
  <si>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</si>
  <si>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</si>
  <si>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</si>
  <si>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</si>
  <si>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</si>
  <si>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</si>
  <si>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</si>
  <si>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</si>
  <si>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</si>
  <si>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</si>
  <si>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</si>
  <si>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</si>
  <si>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</si>
  <si>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</si>
  <si>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</si>
  <si>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</si>
  <si>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</si>
  <si>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</si>
  <si>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</si>
  <si>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</si>
  <si>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</si>
  <si>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</si>
  <si>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</si>
  <si>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</si>
  <si>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</si>
  <si>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</si>
  <si>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</si>
  <si>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</si>
  <si>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</si>
  <si>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</si>
  <si>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</si>
  <si>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</si>
  <si>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</si>
  <si>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</si>
  <si>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</si>
  <si>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</si>
  <si>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</si>
  <si>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</si>
  <si>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</si>
  <si>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</si>
  <si>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</si>
  <si>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</si>
  <si>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</si>
  <si>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</si>
  <si>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</si>
  <si>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</si>
  <si>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</si>
  <si>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</si>
  <si>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</si>
  <si>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</si>
  <si>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</si>
  <si>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</si>
  <si>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</si>
  <si>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</si>
  <si>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</si>
  <si>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</si>
  <si>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</si>
  <si>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</si>
  <si>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</si>
  <si>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</si>
  <si>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</si>
  <si>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</si>
  <si>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</si>
  <si>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</si>
  <si>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</si>
  <si>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</si>
  <si>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</si>
  <si>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</si>
  <si>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</si>
  <si>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</si>
  <si>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</si>
  <si>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</si>
  <si>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</si>
  <si>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</si>
  <si>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</si>
  <si>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</si>
  <si>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</si>
  <si>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</si>
  <si>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</si>
  <si>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</si>
  <si>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</si>
  <si>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</si>
  <si>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</si>
  <si>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</si>
  <si>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</si>
  <si>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</si>
  <si>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</si>
  <si>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</si>
  <si>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</si>
  <si>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</si>
  <si>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</si>
  <si>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</si>
  <si>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</si>
  <si>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</si>
  <si>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</si>
  <si>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</si>
  <si>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</si>
  <si>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</si>
  <si>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</si>
  <si>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</si>
  <si>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</si>
  <si>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</si>
  <si>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</si>
  <si>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</si>
  <si>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</si>
  <si>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</si>
  <si>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</si>
  <si>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</si>
  <si>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</si>
  <si>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</si>
  <si>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</si>
  <si>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</si>
  <si>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</si>
  <si>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</si>
  <si>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</si>
  <si>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</si>
  <si>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</si>
  <si>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</si>
  <si>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</si>
  <si>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</si>
  <si>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</si>
  <si>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</si>
  <si>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</si>
  <si>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</si>
  <si>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</si>
  <si>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</si>
  <si>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</si>
  <si>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</si>
  <si>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</si>
  <si>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</si>
  <si>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</si>
  <si>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</si>
  <si>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</si>
  <si>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</si>
  <si>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</si>
  <si>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</si>
  <si>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</si>
  <si>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</si>
  <si>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</si>
  <si>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</si>
  <si>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</si>
  <si>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</si>
  <si>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</si>
  <si>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</si>
  <si>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</si>
  <si>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</si>
  <si>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</si>
  <si>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</si>
  <si>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</si>
  <si>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</si>
  <si>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</si>
  <si>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</si>
  <si>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</si>
  <si>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</si>
  <si>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</si>
  <si>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</si>
  <si>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</si>
  <si>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</si>
  <si>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</si>
  <si>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</si>
  <si>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</si>
  <si>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</si>
  <si>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</si>
  <si>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</si>
  <si>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</si>
  <si>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</si>
  <si>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</si>
  <si>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</si>
  <si>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</si>
  <si>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</si>
  <si>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</si>
  <si>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</si>
  <si>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</si>
  <si>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</si>
  <si>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</si>
  <si>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</si>
  <si>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</si>
  <si>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</si>
  <si>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</si>
  <si>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</si>
  <si>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</si>
  <si>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</si>
  <si>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</si>
  <si>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</si>
  <si>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</si>
  <si>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</si>
  <si>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</si>
  <si>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</si>
  <si>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</si>
  <si>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</si>
  <si>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</si>
  <si>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</si>
  <si>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</si>
  <si>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</si>
  <si>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</si>
  <si>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</si>
  <si>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</si>
  <si>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</si>
  <si>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</si>
  <si>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</si>
  <si>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</si>
  <si>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</si>
  <si>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</si>
  <si>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</si>
  <si>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</si>
  <si>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</si>
  <si>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</si>
  <si>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</si>
  <si>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</si>
  <si>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</si>
  <si>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</si>
  <si>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</si>
  <si>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</si>
  <si>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</si>
  <si>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</si>
  <si>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</si>
  <si>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</si>
  <si>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</si>
  <si>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</si>
  <si>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</si>
  <si>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</si>
  <si>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</si>
  <si>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</si>
  <si>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</si>
  <si>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</si>
  <si>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</si>
  <si>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</si>
  <si>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</si>
  <si>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</si>
  <si>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</si>
  <si>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</si>
  <si>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</si>
  <si>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</si>
  <si>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</si>
  <si>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</si>
  <si>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</si>
  <si>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</si>
  <si>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</si>
  <si>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</si>
  <si>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</si>
  <si>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</si>
  <si>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</si>
  <si>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</si>
  <si>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</si>
  <si>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</si>
  <si>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</si>
  <si>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</si>
  <si>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</si>
  <si>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</si>
  <si>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</si>
  <si>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</si>
  <si>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</si>
  <si>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</si>
  <si>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</si>
  <si>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</si>
  <si>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</si>
  <si>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</si>
  <si>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</si>
  <si>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</si>
  <si>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</si>
  <si>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</si>
  <si>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</si>
  <si>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</si>
  <si>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</si>
  <si>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</si>
  <si>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</si>
  <si>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</si>
  <si>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</si>
  <si>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</si>
  <si>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</si>
  <si>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</si>
  <si>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</si>
  <si>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</si>
  <si>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</si>
  <si>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</si>
  <si>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</si>
  <si>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</si>
  <si>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</si>
  <si>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</si>
  <si>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</si>
  <si>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</si>
  <si>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</si>
  <si>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</si>
  <si>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</si>
  <si>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</si>
  <si>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</si>
  <si>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</si>
  <si>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</si>
  <si>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</si>
  <si>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</si>
  <si>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</si>
  <si>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</si>
  <si>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</si>
  <si>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</si>
  <si>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</si>
  <si>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</si>
  <si>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</si>
  <si>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</si>
  <si>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</si>
  <si>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</si>
  <si>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</si>
  <si>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</si>
  <si>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</si>
  <si>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</si>
  <si>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</si>
  <si>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</si>
  <si>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</si>
  <si>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</si>
  <si>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</si>
  <si>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</si>
  <si>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</si>
  <si>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</si>
  <si>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</si>
  <si>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</si>
  <si>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</si>
  <si>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</si>
  <si>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</si>
  <si>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</si>
  <si>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</si>
  <si>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</si>
  <si>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</si>
  <si>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</si>
  <si>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</si>
  <si>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</si>
  <si>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</si>
  <si>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</si>
  <si>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</si>
  <si>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</si>
  <si>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</si>
  <si>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</si>
  <si>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</si>
  <si>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</si>
  <si>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</si>
  <si>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</si>
  <si>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</si>
  <si>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</si>
  <si>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</si>
  <si>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</si>
  <si>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</si>
  <si>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</si>
  <si>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</si>
  <si>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</si>
  <si>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</si>
  <si>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</si>
  <si>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</si>
  <si>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</si>
  <si>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</si>
  <si>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</si>
  <si>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</si>
  <si>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</si>
  <si>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</si>
  <si>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</si>
  <si>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</si>
  <si>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</si>
  <si>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</si>
  <si>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</si>
  <si>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</si>
  <si>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</si>
  <si>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</si>
  <si>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</si>
  <si>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</si>
  <si>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</si>
  <si>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</si>
  <si>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</si>
  <si>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</si>
  <si>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</si>
  <si>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</si>
  <si>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</si>
  <si>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</si>
  <si>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</si>
  <si>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</si>
  <si>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</si>
  <si>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</si>
  <si>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</si>
  <si>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</si>
  <si>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</si>
  <si>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</si>
  <si>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</si>
  <si>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</si>
  <si>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</si>
  <si>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</si>
  <si>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</si>
  <si>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</si>
  <si>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</si>
  <si>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</si>
  <si>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</si>
  <si>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</si>
  <si>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</si>
  <si>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</si>
  <si>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</si>
  <si>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</si>
  <si>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</si>
  <si>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</si>
  <si>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</si>
  <si>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</si>
  <si>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</si>
  <si>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</si>
  <si>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</si>
  <si>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</si>
  <si>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</si>
  <si>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</si>
  <si>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</si>
  <si>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</si>
  <si>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</si>
  <si>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</si>
  <si>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</si>
  <si>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</si>
  <si>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</si>
  <si>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</si>
  <si>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</si>
  <si>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</si>
  <si>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</si>
  <si>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</si>
  <si>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</si>
  <si>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</si>
  <si>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</si>
  <si>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</si>
  <si>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</si>
  <si>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</si>
  <si>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</si>
  <si>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</si>
  <si>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</si>
  <si>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</si>
  <si>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</si>
  <si>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</si>
  <si>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</si>
  <si>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</si>
  <si>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</si>
  <si>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</si>
  <si>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</si>
  <si>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</si>
  <si>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</si>
  <si>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</si>
  <si>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</si>
  <si>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</si>
  <si>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</si>
  <si>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</si>
  <si>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</si>
  <si>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</si>
  <si>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</si>
  <si>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</si>
  <si>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</si>
  <si>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</si>
  <si>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</si>
  <si>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</si>
  <si>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</si>
  <si>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</si>
  <si>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</si>
  <si>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</si>
  <si>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</si>
  <si>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</si>
  <si>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</si>
  <si>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</si>
  <si>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</si>
  <si>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</si>
  <si>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</si>
  <si>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</si>
  <si>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</si>
  <si>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</si>
  <si>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</si>
  <si>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</si>
  <si>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</si>
  <si>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</si>
  <si>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</si>
  <si>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</si>
  <si>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</si>
  <si>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</si>
  <si>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</si>
  <si>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</si>
  <si>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</si>
  <si>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</si>
  <si>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</si>
  <si>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</si>
  <si>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</si>
  <si>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</si>
  <si>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</si>
  <si>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</si>
  <si>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</si>
  <si>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</si>
  <si>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</si>
  <si>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</si>
  <si>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</si>
  <si>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</si>
  <si>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</si>
  <si>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</si>
  <si>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</si>
  <si>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</si>
  <si>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</si>
  <si>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</si>
  <si>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</si>
  <si>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</si>
  <si>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</si>
  <si>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</si>
  <si>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</si>
  <si>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</si>
  <si>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</si>
  <si>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</si>
  <si>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</si>
  <si>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</si>
  <si>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</si>
  <si>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</si>
  <si>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</si>
  <si>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</si>
  <si>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</si>
  <si>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</si>
  <si>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</si>
  <si>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</si>
  <si>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</si>
  <si>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</si>
  <si>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</si>
  <si>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</si>
  <si>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</si>
  <si>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</si>
  <si>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</si>
  <si>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</si>
  <si>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</si>
  <si>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</si>
  <si>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</si>
  <si>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</si>
  <si>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</si>
  <si>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</si>
  <si>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</si>
  <si>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</si>
  <si>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</si>
  <si>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</si>
  <si>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</si>
  <si>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</si>
  <si>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</si>
  <si>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</si>
  <si>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</si>
  <si>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</si>
  <si>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</si>
  <si>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</si>
  <si>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</si>
  <si>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</si>
  <si>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</si>
  <si>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</si>
  <si>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</si>
  <si>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</si>
  <si>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</si>
  <si>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</si>
  <si>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</si>
  <si>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</si>
  <si>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</si>
  <si>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</si>
  <si>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</si>
  <si>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</si>
  <si>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</si>
  <si>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</si>
  <si>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</si>
  <si>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</si>
  <si>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</si>
  <si>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</si>
  <si>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</si>
  <si>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</si>
  <si>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</si>
  <si>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</si>
  <si>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</si>
  <si>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</si>
  <si>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</si>
  <si>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</si>
  <si>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</si>
  <si>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</si>
  <si>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</si>
  <si>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</si>
  <si>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</si>
  <si>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</si>
  <si>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</si>
  <si>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</si>
  <si>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</si>
  <si>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</si>
  <si>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</si>
  <si>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</si>
  <si>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</si>
  <si>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</si>
  <si>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</si>
  <si>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</si>
  <si>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</si>
  <si>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</si>
  <si>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</si>
  <si>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</si>
  <si>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</si>
  <si>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</si>
  <si>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</si>
  <si>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</si>
  <si>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</si>
  <si>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</si>
  <si>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</si>
  <si>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</si>
  <si>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</si>
  <si>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</si>
  <si>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</si>
  <si>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</si>
  <si>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</si>
  <si>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</si>
  <si>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</si>
  <si>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</si>
  <si>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</si>
  <si>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</si>
  <si>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</si>
  <si>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</si>
  <si>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</si>
  <si>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</si>
  <si>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</si>
  <si>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</si>
  <si>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</si>
  <si>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</si>
  <si>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</si>
  <si>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</si>
  <si>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</si>
  <si>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</si>
  <si>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</si>
  <si>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</si>
  <si>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</si>
  <si>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</si>
  <si>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</si>
  <si>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</si>
  <si>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</si>
  <si>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</si>
  <si>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</si>
  <si>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</si>
  <si>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</si>
  <si>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</si>
  <si>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</si>
  <si>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</si>
  <si>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</si>
  <si>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</si>
  <si>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</si>
  <si>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</si>
  <si>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</si>
  <si>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</si>
  <si>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</si>
  <si>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</si>
  <si>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</si>
  <si>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</si>
  <si>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</si>
  <si>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</si>
  <si>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</si>
  <si>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</si>
  <si>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</si>
  <si>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</si>
  <si>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</si>
  <si>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</si>
  <si>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</si>
  <si>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</si>
  <si>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</si>
  <si>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</si>
  <si>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</si>
  <si>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</si>
  <si>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</si>
  <si>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</si>
  <si>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</si>
  <si>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</si>
  <si>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</si>
  <si>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</si>
  <si>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</si>
  <si>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</si>
  <si>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</si>
  <si>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</si>
  <si>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</si>
  <si>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</si>
  <si>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</si>
  <si>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</si>
  <si>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</si>
  <si>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</si>
  <si>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</si>
  <si>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</si>
  <si>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</si>
  <si>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</si>
  <si>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</si>
  <si>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</si>
  <si>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</si>
  <si>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</si>
  <si>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</si>
  <si>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</si>
  <si>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</si>
  <si>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</si>
  <si>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</si>
  <si>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</si>
  <si>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</si>
  <si>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</si>
  <si>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</si>
  <si>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</si>
  <si>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</si>
  <si>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</si>
  <si>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</si>
  <si>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</si>
  <si>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</si>
  <si>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</si>
  <si>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</si>
  <si>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</si>
  <si>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</si>
  <si>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</si>
  <si>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</si>
  <si>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</si>
  <si>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</si>
  <si>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</si>
  <si>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</si>
  <si>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</si>
  <si>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</si>
  <si>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</si>
  <si>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</si>
  <si>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</si>
  <si>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</si>
  <si>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</si>
  <si>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</si>
  <si>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</si>
  <si>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</si>
  <si>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</si>
  <si>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</si>
  <si>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</si>
  <si>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</si>
  <si>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</si>
  <si>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</si>
  <si>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</si>
  <si>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</si>
  <si>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</si>
  <si>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</si>
  <si>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</si>
  <si>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</si>
  <si>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</si>
  <si>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</si>
  <si>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</si>
  <si>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</si>
  <si>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</si>
  <si>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</si>
  <si>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</si>
  <si>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</si>
  <si>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</si>
  <si>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</si>
  <si>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</si>
  <si>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</si>
  <si>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</si>
  <si>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</si>
  <si>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</si>
  <si>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</si>
  <si>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</si>
  <si>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</si>
  <si>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</si>
  <si>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</si>
  <si>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</si>
  <si>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</si>
  <si>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</si>
  <si>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</si>
  <si>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</si>
  <si>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</si>
  <si>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</si>
  <si>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</si>
  <si>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</si>
  <si>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</si>
  <si>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</si>
  <si>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</si>
  <si>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</si>
  <si>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</si>
  <si>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</si>
  <si>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</si>
  <si>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</si>
  <si>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</si>
  <si>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</si>
  <si>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</si>
  <si>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</si>
  <si>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</si>
  <si>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</si>
  <si>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</si>
  <si>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</si>
  <si>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</si>
  <si>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</si>
  <si>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</si>
  <si>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</si>
  <si>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</si>
  <si>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</si>
  <si>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</si>
  <si>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</si>
  <si>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</si>
  <si>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</si>
  <si>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</si>
  <si>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</si>
  <si>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</si>
  <si>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</si>
  <si>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</si>
  <si>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</si>
  <si>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</si>
  <si>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</si>
  <si>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</si>
  <si>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</si>
  <si>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</si>
  <si>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</si>
  <si>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</si>
  <si>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</si>
  <si>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</si>
  <si>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</si>
  <si>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</si>
  <si>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</si>
  <si>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</si>
  <si>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</si>
  <si>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</si>
  <si>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</si>
  <si>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</si>
  <si>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</si>
  <si>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</si>
  <si>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</si>
  <si>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</si>
  <si>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</si>
  <si>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</si>
  <si>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</si>
  <si>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</si>
  <si>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</si>
  <si>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</si>
  <si>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</si>
  <si>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</si>
  <si>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</si>
  <si>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</si>
  <si>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</si>
  <si>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</si>
  <si>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</si>
  <si>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</si>
  <si>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</si>
  <si>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</si>
  <si>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</si>
  <si>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</si>
  <si>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</si>
  <si>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</si>
  <si>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</si>
  <si>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</si>
  <si>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</si>
  <si>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</si>
  <si>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</si>
  <si>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</si>
  <si>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</si>
  <si>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</si>
  <si>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</si>
  <si>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</si>
  <si>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</si>
  <si>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</si>
  <si>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</si>
  <si>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</si>
  <si>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</si>
  <si>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</si>
  <si>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</si>
  <si>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</si>
  <si>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</si>
  <si>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</si>
  <si>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</si>
  <si>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</si>
  <si>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</si>
  <si>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</si>
  <si>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</si>
  <si>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</si>
  <si>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</si>
  <si>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</si>
  <si>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</si>
  <si>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</si>
  <si>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</si>
  <si>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</si>
  <si>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</si>
  <si>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</si>
  <si>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</si>
  <si>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</si>
  <si>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</si>
  <si>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</si>
  <si>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</si>
  <si>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</si>
  <si>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</si>
  <si>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</si>
  <si>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</si>
  <si>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</si>
  <si>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</si>
  <si>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</si>
  <si>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</si>
  <si>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</si>
  <si>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</si>
  <si>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</si>
  <si>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</si>
  <si>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</si>
  <si>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</si>
  <si>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</si>
  <si>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</si>
  <si>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</si>
  <si>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</si>
  <si>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</si>
  <si>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</si>
  <si>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</si>
  <si>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</si>
  <si>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</si>
  <si>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</si>
  <si>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</si>
  <si>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</si>
  <si>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</si>
  <si>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</si>
  <si>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</si>
  <si>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</si>
  <si>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</si>
  <si>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</si>
  <si>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</si>
  <si>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</si>
  <si>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</si>
  <si>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</si>
  <si>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</si>
  <si>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</si>
  <si>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</si>
  <si>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</si>
  <si>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</si>
  <si>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</si>
  <si>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</si>
  <si>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</si>
  <si>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</si>
  <si>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</si>
  <si>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</si>
  <si>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</si>
  <si>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</si>
  <si>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</si>
  <si>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</si>
  <si>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</si>
  <si>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</si>
  <si>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</si>
  <si>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</si>
  <si>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</si>
  <si>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</si>
  <si>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</si>
  <si>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</si>
  <si>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</si>
  <si>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</si>
  <si>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</si>
  <si>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</si>
  <si>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</si>
  <si>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</si>
  <si>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</si>
  <si>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</si>
  <si>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</si>
  <si>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</si>
  <si>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</si>
  <si>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</si>
  <si>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</si>
  <si>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</si>
  <si>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</si>
  <si>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</si>
  <si>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</si>
  <si>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</si>
  <si>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</si>
  <si>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</si>
  <si>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</si>
  <si>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</si>
  <si>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</si>
  <si>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</si>
  <si>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</si>
  <si>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</si>
  <si>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</si>
  <si>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</si>
  <si>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</si>
  <si>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</si>
  <si>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</si>
  <si>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</si>
  <si>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</si>
  <si>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</si>
  <si>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</si>
  <si>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</si>
  <si>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</si>
  <si>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</si>
  <si>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</si>
  <si>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</si>
  <si>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</si>
  <si>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</si>
  <si>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</si>
  <si>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</si>
  <si>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</si>
  <si>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</si>
  <si>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</si>
  <si>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</si>
  <si>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</si>
  <si>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</si>
  <si>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</si>
  <si>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</si>
  <si>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</si>
  <si>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</si>
  <si>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</si>
  <si>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</si>
  <si>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</si>
  <si>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</si>
  <si>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</si>
  <si>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</si>
  <si>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</si>
  <si>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</si>
  <si>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</si>
  <si>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</si>
  <si>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</si>
  <si>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</si>
  <si>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</si>
  <si>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</si>
  <si>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</si>
  <si>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</si>
  <si>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</si>
  <si>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</si>
  <si>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</si>
  <si>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</si>
  <si>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</si>
  <si>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</si>
  <si>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</si>
  <si>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</si>
  <si>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</si>
  <si>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</si>
  <si>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</si>
  <si>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</si>
  <si>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</si>
  <si>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</si>
  <si>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</si>
  <si>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</si>
  <si>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</si>
  <si>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</si>
  <si>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</si>
  <si>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</si>
  <si>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</si>
  <si>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</si>
  <si>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</si>
  <si>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</si>
  <si>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</si>
  <si>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</si>
  <si>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</si>
  <si>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</si>
  <si>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</si>
  <si>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</si>
  <si>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</si>
  <si>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</si>
  <si>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</si>
  <si>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</si>
  <si>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</si>
  <si>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</si>
  <si>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</si>
  <si>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</si>
  <si>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</si>
  <si>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</si>
  <si>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</si>
  <si>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</si>
  <si>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</si>
  <si>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</si>
  <si>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</si>
  <si>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</si>
  <si>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</si>
  <si>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</si>
  <si>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</si>
  <si>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</si>
  <si>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</si>
  <si>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</si>
  <si>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</si>
  <si>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</si>
  <si>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</si>
  <si>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</si>
  <si>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</si>
  <si>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</si>
  <si>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</si>
  <si>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</si>
  <si>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</si>
  <si>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</si>
  <si>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</si>
  <si>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</si>
  <si>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</si>
  <si>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</si>
  <si>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</si>
  <si>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</si>
  <si>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</si>
  <si>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</si>
  <si>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</si>
  <si>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</si>
  <si>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</si>
  <si>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</si>
  <si>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</si>
  <si>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</si>
  <si>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</si>
  <si>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</si>
  <si>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</si>
  <si>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</si>
  <si>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</si>
  <si>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</si>
  <si>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</si>
  <si>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</si>
  <si>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</si>
  <si>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</si>
  <si>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</si>
  <si>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</si>
  <si>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</si>
  <si>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</si>
  <si>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</si>
  <si>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</si>
  <si>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</si>
  <si>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</si>
  <si>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</si>
  <si>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</si>
  <si>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</si>
  <si>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</si>
  <si>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</si>
  <si>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</si>
  <si>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</si>
  <si>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</si>
  <si>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</si>
  <si>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</si>
  <si>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</si>
  <si>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</si>
  <si>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</si>
  <si>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</si>
  <si>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</si>
  <si>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</si>
  <si>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</si>
  <si>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</si>
  <si>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</si>
  <si>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</si>
  <si>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</si>
  <si>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</si>
  <si>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</si>
  <si>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</si>
  <si>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</si>
  <si>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</si>
  <si>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</si>
  <si>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</si>
  <si>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</si>
  <si>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</si>
  <si>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</si>
  <si>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</si>
  <si>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</si>
  <si>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</si>
  <si>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</si>
  <si>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</si>
  <si>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</si>
  <si>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</si>
  <si>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</si>
  <si>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</si>
  <si>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</si>
  <si>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</si>
  <si>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</si>
  <si>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</si>
  <si>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</si>
  <si>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</si>
  <si>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</si>
  <si>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</si>
  <si>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</si>
  <si>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</si>
  <si>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</si>
  <si>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</si>
  <si>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</si>
  <si>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</si>
  <si>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</si>
  <si>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</si>
  <si>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</si>
  <si>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</si>
  <si>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</si>
  <si>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</si>
  <si>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</si>
  <si>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</si>
  <si>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</si>
  <si>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</si>
  <si>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</si>
  <si>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</si>
  <si>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</si>
  <si>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</si>
  <si>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</si>
  <si>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</si>
  <si>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</si>
  <si>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</si>
  <si>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</si>
  <si>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</si>
  <si>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</si>
  <si>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</si>
  <si>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</si>
  <si>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</si>
  <si>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</si>
  <si>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</si>
  <si>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</si>
  <si>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</si>
  <si>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</si>
  <si>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</si>
  <si>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</si>
  <si>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</si>
  <si>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</si>
  <si>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</si>
  <si>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</si>
  <si>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</si>
  <si>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</si>
  <si>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</si>
  <si>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</si>
  <si>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</si>
  <si>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</si>
  <si>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</si>
  <si>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</si>
  <si>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</si>
  <si>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</si>
  <si>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</si>
  <si>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</si>
  <si>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</si>
  <si>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</si>
  <si>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</si>
  <si>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</si>
  <si>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</si>
  <si>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</si>
  <si>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</si>
  <si>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</si>
  <si>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</si>
  <si>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</si>
  <si>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</si>
  <si>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</si>
  <si>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</si>
  <si>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</si>
  <si>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</si>
  <si>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</si>
  <si>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</si>
  <si>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</si>
  <si>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</si>
  <si>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</si>
  <si>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</si>
  <si>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</si>
  <si>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</si>
  <si>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</si>
  <si>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</si>
  <si>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</si>
  <si>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</si>
  <si>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</si>
  <si>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</si>
  <si>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</si>
  <si>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</si>
  <si>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</si>
  <si>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</si>
  <si>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</si>
  <si>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</si>
  <si>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</si>
  <si>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</si>
  <si>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</si>
  <si>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</si>
  <si>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</si>
  <si>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</si>
  <si>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</si>
  <si>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</si>
  <si>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</si>
  <si>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</si>
  <si>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</si>
  <si>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</si>
  <si>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</si>
  <si>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</si>
  <si>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</si>
  <si>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</si>
  <si>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</si>
  <si>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</si>
  <si>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</si>
  <si>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</si>
  <si>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</si>
  <si>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</si>
  <si>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</si>
  <si>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</si>
  <si>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</si>
  <si>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</si>
  <si>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</si>
  <si>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</si>
  <si>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</si>
  <si>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</si>
  <si>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</si>
  <si>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</si>
  <si>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</si>
  <si>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</si>
  <si>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</si>
  <si>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</si>
  <si>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</si>
  <si>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</si>
  <si>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</si>
  <si>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</si>
  <si>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</si>
  <si>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</si>
  <si>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</si>
  <si>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</si>
  <si>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</si>
  <si>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</si>
  <si>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</si>
  <si>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</si>
  <si>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</si>
  <si>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</si>
  <si>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</si>
  <si>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</si>
  <si>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</si>
  <si>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</si>
  <si>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</si>
  <si>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</si>
  <si>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</si>
  <si>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</si>
  <si>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</si>
  <si>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</si>
  <si>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</si>
  <si>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</si>
  <si>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</si>
  <si>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</si>
  <si>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</si>
  <si>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</si>
  <si>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</si>
  <si>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</si>
  <si>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</si>
  <si>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</si>
  <si>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</si>
  <si>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</si>
  <si>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</si>
  <si>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</si>
  <si>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</si>
  <si>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</si>
  <si>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</si>
  <si>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</si>
  <si>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</si>
  <si>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</si>
  <si>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</si>
  <si>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</si>
  <si>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</si>
  <si>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</si>
  <si>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</si>
  <si>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</si>
  <si>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</si>
  <si>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</si>
  <si>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</si>
  <si>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</si>
  <si>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</si>
  <si>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</si>
  <si>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</si>
  <si>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</si>
  <si>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</si>
  <si>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</si>
  <si>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</si>
  <si>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</si>
  <si>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</si>
  <si>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</si>
  <si>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</si>
  <si>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</si>
  <si>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</si>
  <si>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</si>
  <si>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</si>
  <si>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</si>
  <si>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</si>
  <si>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</si>
  <si>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</si>
  <si>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</si>
  <si>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</si>
  <si>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</si>
  <si>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</si>
  <si>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</si>
  <si>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</si>
  <si>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</si>
  <si>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</si>
  <si>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</si>
  <si>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</si>
  <si>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</si>
  <si>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</si>
  <si>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</si>
  <si>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</si>
  <si>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</si>
  <si>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</si>
  <si>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</si>
  <si>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</si>
  <si>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</si>
  <si>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</si>
  <si>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</si>
  <si>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</si>
  <si>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</si>
  <si>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</si>
  <si>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</si>
  <si>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</si>
  <si>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</si>
  <si>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</si>
  <si>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</si>
  <si>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</si>
  <si>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</si>
  <si>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</si>
  <si>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</si>
  <si>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</si>
  <si>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</si>
  <si>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</si>
  <si>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</si>
  <si>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</si>
  <si>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</si>
  <si>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</si>
  <si>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</si>
  <si>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</si>
  <si>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</si>
  <si>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</si>
  <si>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</si>
  <si>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</si>
  <si>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</si>
  <si>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</si>
  <si>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</si>
  <si>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</si>
  <si>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</si>
  <si>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</si>
  <si>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</si>
  <si>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</si>
  <si>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</si>
  <si>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</si>
  <si>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</si>
  <si>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</si>
  <si>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</si>
  <si>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</si>
  <si>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</si>
  <si>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</si>
  <si>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</si>
  <si>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</si>
  <si>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</si>
  <si>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</si>
  <si>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</si>
  <si>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</si>
  <si>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</si>
  <si>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</si>
  <si>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</si>
  <si>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</si>
  <si>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</si>
  <si>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</si>
  <si>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</si>
  <si>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</si>
  <si>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</si>
  <si>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</si>
  <si>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</si>
  <si>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</si>
  <si>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</si>
  <si>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</si>
  <si>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</si>
  <si>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</si>
  <si>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</si>
  <si>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</si>
  <si>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</si>
  <si>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</si>
  <si>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</si>
  <si>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</si>
  <si>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</si>
  <si>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</si>
  <si>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</si>
  <si>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</si>
  <si>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</si>
  <si>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</si>
  <si>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</si>
  <si>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</si>
  <si>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</si>
  <si>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</si>
  <si>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</si>
  <si>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</si>
  <si>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</si>
  <si>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</si>
  <si>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</si>
  <si>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</si>
  <si>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</si>
  <si>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</si>
  <si>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</si>
  <si>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</si>
  <si>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</si>
  <si>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</si>
  <si>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</si>
  <si>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</si>
  <si>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</si>
  <si>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</si>
  <si>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</si>
  <si>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</si>
  <si>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</si>
  <si>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</si>
  <si>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</si>
  <si>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</si>
  <si>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</si>
  <si>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</si>
  <si>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</si>
  <si>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</si>
  <si>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</si>
  <si>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</si>
  <si>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</si>
  <si>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</si>
  <si>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</si>
  <si>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</si>
  <si>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</si>
  <si>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</si>
  <si>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</si>
  <si>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</si>
  <si>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</si>
  <si>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</si>
  <si>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</si>
  <si>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</si>
  <si>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</si>
  <si>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</si>
  <si>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</si>
  <si>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</si>
  <si>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</si>
  <si>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</si>
  <si>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</si>
  <si>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</si>
  <si>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</si>
  <si>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</si>
  <si>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</si>
  <si>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</si>
  <si>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</si>
  <si>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</si>
  <si>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</si>
  <si>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</si>
  <si>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</si>
  <si>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</si>
  <si>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</si>
  <si>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</si>
  <si>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</si>
  <si>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</si>
  <si>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</si>
  <si>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</si>
  <si>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</si>
  <si>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</si>
  <si>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</si>
  <si>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</si>
  <si>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</si>
  <si>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</si>
  <si>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</si>
  <si>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</si>
  <si>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</si>
  <si>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</si>
  <si>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</si>
  <si>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</si>
  <si>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</si>
  <si>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</si>
  <si>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</si>
  <si>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</si>
  <si>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</si>
  <si>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</si>
  <si>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</si>
  <si>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</si>
  <si>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</si>
  <si>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</si>
  <si>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</si>
  <si>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</si>
  <si>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</si>
  <si>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</si>
  <si>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</si>
  <si>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</si>
  <si>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</si>
  <si>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</si>
  <si>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</si>
  <si>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</si>
  <si>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</si>
  <si>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</si>
  <si>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</si>
  <si>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</si>
  <si>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</si>
  <si>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</si>
  <si>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</si>
  <si>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</si>
  <si>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</si>
  <si>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</si>
  <si>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</si>
  <si>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</si>
  <si>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</si>
  <si>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</si>
  <si>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</si>
  <si>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</si>
  <si>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</si>
  <si>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</si>
  <si>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</si>
  <si>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</si>
  <si>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</si>
  <si>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</si>
  <si>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</si>
  <si>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</si>
  <si>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</si>
  <si>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</si>
  <si>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</si>
  <si>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</si>
  <si>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</si>
  <si>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</si>
  <si>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</si>
  <si>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</si>
  <si>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</si>
  <si>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</si>
  <si>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</si>
  <si>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</si>
  <si>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</si>
  <si>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</si>
  <si>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</si>
  <si>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</si>
  <si>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</si>
  <si>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</si>
  <si>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</si>
  <si>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</si>
  <si>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</si>
  <si>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</si>
  <si>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</si>
  <si>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</si>
  <si>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</si>
  <si>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</si>
  <si>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</si>
  <si>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</si>
  <si>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</si>
  <si>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</si>
  <si>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</si>
  <si>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</si>
  <si>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</si>
  <si>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</si>
  <si>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</si>
  <si>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</si>
  <si>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</si>
  <si>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</si>
  <si>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</si>
  <si>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</si>
  <si>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</si>
  <si>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</si>
  <si>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</si>
  <si>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</si>
  <si>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</si>
  <si>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</si>
  <si>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</si>
  <si>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</si>
  <si>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</si>
  <si>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</si>
  <si>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</si>
  <si>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</si>
  <si>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</si>
  <si>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</si>
  <si>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</si>
  <si>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</si>
  <si>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</si>
  <si>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</si>
  <si>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</si>
  <si>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</si>
  <si>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</si>
  <si>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</si>
  <si>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</si>
  <si>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</si>
  <si>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</si>
  <si>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</si>
  <si>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</si>
  <si>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</si>
  <si>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</si>
  <si>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</si>
  <si>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</si>
  <si>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</si>
  <si>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</si>
  <si>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</si>
  <si>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</si>
  <si>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</si>
  <si>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</si>
  <si>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</si>
  <si>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</si>
  <si>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</si>
  <si>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</si>
  <si>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</si>
  <si>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</si>
  <si>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</si>
  <si>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</si>
  <si>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</si>
  <si>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</si>
  <si>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</si>
  <si>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</si>
  <si>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</si>
  <si>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</si>
  <si>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</si>
  <si>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</si>
  <si>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</si>
  <si>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</si>
  <si>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</si>
  <si>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</si>
  <si>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</si>
  <si>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</si>
  <si>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</si>
  <si>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</si>
  <si>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</si>
  <si>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</si>
  <si>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</si>
  <si>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</si>
  <si>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</si>
  <si>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</si>
  <si>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</si>
  <si>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</si>
  <si>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</si>
  <si>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</si>
  <si>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</si>
  <si>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</si>
  <si>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</si>
  <si>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</si>
  <si>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</si>
  <si>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</si>
  <si>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</si>
  <si>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</si>
  <si>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</si>
  <si>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</si>
  <si>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</si>
  <si>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</si>
  <si>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</si>
  <si>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</si>
  <si>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</si>
  <si>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</si>
  <si>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</si>
  <si>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</si>
  <si>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</si>
  <si>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</si>
  <si>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</si>
  <si>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</si>
  <si>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</si>
  <si>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</si>
  <si>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</si>
  <si>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</si>
  <si>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</si>
  <si>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</si>
  <si>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</si>
  <si>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</si>
  <si>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</si>
  <si>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</si>
  <si>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</si>
  <si>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</si>
  <si>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</si>
  <si>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</si>
  <si>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</si>
  <si>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</si>
  <si>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</si>
  <si>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</si>
  <si>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</si>
  <si>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</si>
  <si>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</si>
  <si>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</si>
  <si>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</si>
  <si>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</si>
  <si>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</si>
  <si>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</si>
  <si>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</si>
  <si>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</si>
  <si>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</si>
  <si>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</si>
  <si>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</si>
  <si>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</si>
  <si>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</si>
  <si>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</si>
  <si>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</si>
  <si>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</si>
  <si>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</si>
  <si>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</si>
  <si>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</si>
  <si>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</si>
  <si>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</si>
  <si>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</si>
  <si>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</si>
  <si>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</si>
  <si>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</si>
  <si>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</si>
  <si>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</si>
  <si>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</si>
  <si>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</si>
  <si>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</si>
  <si>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</si>
  <si>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</si>
  <si>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</si>
  <si>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</si>
  <si>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</si>
  <si>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</si>
  <si>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</si>
  <si>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</si>
  <si>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</si>
  <si>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</si>
  <si>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</si>
  <si>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</si>
  <si>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</si>
  <si>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</si>
  <si>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</si>
  <si>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</si>
  <si>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</si>
  <si>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</si>
  <si>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</si>
  <si>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</si>
  <si>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</si>
  <si>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</si>
  <si>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</si>
  <si>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</si>
  <si>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</si>
  <si>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</si>
  <si>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</si>
  <si>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</si>
  <si>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</si>
  <si>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</si>
  <si>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</si>
  <si>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</si>
  <si>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</si>
  <si>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</si>
  <si>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</si>
  <si>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</si>
  <si>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</si>
  <si>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</si>
  <si>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</si>
  <si>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</si>
  <si>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</si>
  <si>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</si>
  <si>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</si>
  <si>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</si>
  <si>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</si>
  <si>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</si>
  <si>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</si>
  <si>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</si>
  <si>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</si>
  <si>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</si>
  <si>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</si>
  <si>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</si>
  <si>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</si>
  <si>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</si>
  <si>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</si>
  <si>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</si>
  <si>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</si>
  <si>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</si>
  <si>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</si>
  <si>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</si>
  <si>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</si>
  <si>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</si>
  <si>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</si>
  <si>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</si>
  <si>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</si>
  <si>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</si>
  <si>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</si>
  <si>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</si>
  <si>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</si>
  <si>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</si>
  <si>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</si>
  <si>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</si>
  <si>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</si>
  <si>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</si>
  <si>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</si>
  <si>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</si>
  <si>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</si>
  <si>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</si>
  <si>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</si>
  <si>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</si>
  <si>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</si>
  <si>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</si>
  <si>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</si>
  <si>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</si>
  <si>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</si>
  <si>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</si>
  <si>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</si>
  <si>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</si>
  <si>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</si>
  <si>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</si>
  <si>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</si>
  <si>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</si>
  <si>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</si>
  <si>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</si>
  <si>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</si>
  <si>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</si>
  <si>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</si>
  <si>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</si>
  <si>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</si>
  <si>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</si>
  <si>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</si>
  <si>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</si>
  <si>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</si>
  <si>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</si>
  <si>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</si>
  <si>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</si>
  <si>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</si>
  <si>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</si>
  <si>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</si>
  <si>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</si>
  <si>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</si>
  <si>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</si>
  <si>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</si>
  <si>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</si>
  <si>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</si>
  <si>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</si>
  <si>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</si>
  <si>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</si>
  <si>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</si>
  <si>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</si>
  <si>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</si>
  <si>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</si>
  <si>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</si>
  <si>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</si>
  <si>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</si>
  <si>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</si>
  <si>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</si>
  <si>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</si>
  <si>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</si>
  <si>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</si>
  <si>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</si>
  <si>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</si>
  <si>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</si>
  <si>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</si>
  <si>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</si>
  <si>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</si>
  <si>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</si>
  <si>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</si>
  <si>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</si>
  <si>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</si>
  <si>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</si>
  <si>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</si>
  <si>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</si>
  <si>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</si>
  <si>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</si>
  <si>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</si>
  <si>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</si>
  <si>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</si>
  <si>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</si>
  <si>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</si>
  <si>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</si>
  <si>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</si>
  <si>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</si>
  <si>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</si>
  <si>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</si>
  <si>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</si>
  <si>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</si>
  <si>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</si>
  <si>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</si>
  <si>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</si>
  <si>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</si>
  <si>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</si>
  <si>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</si>
  <si>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</si>
  <si>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</si>
  <si>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</si>
  <si>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</si>
  <si>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</si>
  <si>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</si>
  <si>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</si>
  <si>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</si>
  <si>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</si>
  <si>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</si>
  <si>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</si>
  <si>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</si>
  <si>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</si>
  <si>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</si>
  <si>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</si>
  <si>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</si>
  <si>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</si>
  <si>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</si>
  <si>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</si>
  <si>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</si>
  <si>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</si>
  <si>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</si>
  <si>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</si>
  <si>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</si>
  <si>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</si>
  <si>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</si>
  <si>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</si>
  <si>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</si>
  <si>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</si>
  <si>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</si>
  <si>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</si>
  <si>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</si>
  <si>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</si>
  <si>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</si>
  <si>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</si>
  <si>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</si>
  <si>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</si>
  <si>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</si>
  <si>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</si>
  <si>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</si>
  <si>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</si>
  <si>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</si>
  <si>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</si>
  <si>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</si>
  <si>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</si>
  <si>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</si>
  <si>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</si>
  <si>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</si>
  <si>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</si>
  <si>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</si>
  <si>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</si>
  <si>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</si>
  <si>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</si>
  <si>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</si>
  <si>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</si>
  <si>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</si>
  <si>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</si>
  <si>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</si>
  <si>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</si>
  <si>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</si>
  <si>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</si>
  <si>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</si>
  <si>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</si>
  <si>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</si>
  <si>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</si>
  <si>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</si>
  <si>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</si>
  <si>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</si>
  <si>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</si>
  <si>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</si>
  <si>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</si>
  <si>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</si>
  <si>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</si>
  <si>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</si>
  <si>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</si>
  <si>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</si>
  <si>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</si>
  <si>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</si>
  <si>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</si>
  <si>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</si>
  <si>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</si>
  <si>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</si>
  <si>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</si>
  <si>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</si>
  <si>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</si>
  <si>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</si>
  <si>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</si>
  <si>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</si>
  <si>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</si>
  <si>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</si>
  <si>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</si>
  <si>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</si>
  <si>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</si>
  <si>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</si>
  <si>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</si>
  <si>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</si>
  <si>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</si>
  <si>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</si>
  <si>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</si>
  <si>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</si>
  <si>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</si>
  <si>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</si>
  <si>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</si>
  <si>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</si>
  <si>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</si>
  <si>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</si>
  <si>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</si>
  <si>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</si>
  <si>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</si>
  <si>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</si>
  <si>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</si>
  <si>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</si>
  <si>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</si>
  <si>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</si>
  <si>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</si>
  <si>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</si>
  <si>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</si>
  <si>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</si>
  <si>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</si>
  <si>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</si>
  <si>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</si>
  <si>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</si>
  <si>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</si>
  <si>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</si>
  <si>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</si>
  <si>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</si>
  <si>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</si>
  <si>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</si>
  <si>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</si>
  <si>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</si>
  <si>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</si>
  <si>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</si>
  <si>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</si>
  <si>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</si>
  <si>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</si>
  <si>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</si>
  <si>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</si>
  <si>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</si>
  <si>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</si>
  <si>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</si>
  <si>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</si>
  <si>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</si>
  <si>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</si>
  <si>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</si>
  <si>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</si>
  <si>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</si>
  <si>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</si>
  <si>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</si>
  <si>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</si>
  <si>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</si>
  <si>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</si>
  <si>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</si>
  <si>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</si>
  <si>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</si>
  <si>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</si>
  <si>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</si>
  <si>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</si>
  <si>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</si>
  <si>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</si>
  <si>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</si>
  <si>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</si>
  <si>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</si>
  <si>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</si>
  <si>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</si>
  <si>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</si>
  <si>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</si>
  <si>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</si>
  <si>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</si>
  <si>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</si>
  <si>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</si>
  <si>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</si>
  <si>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</si>
  <si>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</si>
  <si>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</si>
  <si>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</si>
  <si>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</si>
  <si>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</si>
  <si>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</si>
  <si>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</si>
  <si>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</si>
  <si>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</si>
  <si>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</si>
  <si>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</si>
  <si>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</si>
  <si>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</si>
  <si>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</si>
  <si>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</si>
  <si>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</si>
  <si>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</si>
  <si>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</si>
  <si>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</si>
  <si>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</si>
  <si>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</si>
  <si>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</si>
  <si>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</si>
  <si>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</si>
  <si>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</si>
  <si>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</si>
  <si>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</si>
  <si>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</si>
  <si>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</si>
  <si>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</si>
  <si>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</si>
  <si>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</si>
  <si>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</si>
  <si>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</si>
  <si>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</si>
  <si>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</si>
  <si>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</si>
  <si>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</si>
  <si>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</si>
  <si>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</si>
  <si>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</si>
  <si>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</si>
  <si>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</si>
  <si>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</si>
  <si>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</si>
  <si>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</si>
  <si>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</si>
  <si>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</si>
  <si>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</si>
  <si>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</si>
  <si>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</si>
  <si>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</si>
  <si>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</si>
  <si>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</si>
  <si>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</si>
  <si>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</si>
  <si>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</si>
  <si>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</si>
  <si>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</si>
  <si>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</si>
  <si>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</si>
  <si>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</si>
  <si>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</si>
  <si>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</si>
  <si>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</si>
  <si>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</si>
  <si>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</si>
  <si>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</si>
  <si>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</si>
  <si>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</si>
  <si>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</si>
  <si>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</si>
  <si>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</si>
  <si>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</si>
  <si>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</si>
  <si>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</si>
  <si>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</si>
  <si>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</si>
  <si>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</si>
  <si>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</si>
  <si>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</si>
  <si>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</si>
  <si>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</si>
  <si>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</si>
  <si>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</si>
  <si>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</si>
  <si>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</si>
  <si>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</si>
  <si>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</si>
  <si>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</si>
  <si>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</si>
  <si>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</si>
  <si>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</si>
  <si>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</si>
  <si>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</si>
  <si>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</si>
  <si>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</si>
  <si>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</si>
  <si>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</si>
  <si>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</si>
  <si>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</si>
  <si>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</si>
  <si>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</si>
  <si>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</si>
  <si>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</si>
  <si>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</si>
  <si>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</si>
  <si>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</si>
  <si>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</si>
  <si>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</si>
  <si>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</si>
  <si>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</si>
  <si>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</si>
  <si>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</si>
  <si>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</si>
  <si>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</si>
  <si>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</si>
  <si>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</si>
  <si>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</si>
  <si>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</si>
  <si>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</si>
  <si>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</si>
  <si>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</si>
  <si>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</si>
  <si>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</si>
  <si>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</si>
  <si>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</si>
  <si>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</si>
  <si>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</si>
  <si>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</si>
  <si>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</si>
  <si>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</si>
  <si>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</si>
  <si>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</si>
  <si>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</si>
  <si>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</si>
  <si>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</si>
  <si>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</si>
  <si>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</si>
  <si>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</si>
  <si>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</si>
  <si>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</si>
  <si>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</si>
  <si>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</si>
  <si>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</si>
  <si>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</si>
  <si>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</si>
  <si>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</si>
  <si>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</si>
  <si>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</si>
  <si>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</si>
  <si>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</si>
  <si>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</si>
  <si>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</si>
  <si>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</si>
  <si>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</si>
  <si>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</si>
  <si>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</si>
  <si>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</si>
  <si>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</si>
  <si>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</si>
  <si>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</si>
  <si>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</si>
  <si>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</si>
  <si>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</si>
  <si>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</si>
  <si>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</si>
  <si>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</si>
  <si>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</si>
  <si>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</si>
  <si>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</si>
  <si>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</si>
  <si>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</si>
  <si>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</si>
  <si>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</si>
  <si>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</si>
  <si>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</si>
  <si>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</si>
  <si>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</si>
  <si>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</si>
  <si>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</si>
  <si>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</si>
  <si>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</si>
  <si>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</si>
  <si>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</si>
  <si>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</si>
  <si>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</si>
  <si>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</si>
  <si>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</si>
  <si>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</si>
  <si>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</si>
  <si>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</si>
  <si>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</si>
  <si>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</si>
  <si>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</si>
  <si>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</si>
  <si>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</si>
  <si>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</si>
  <si>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</si>
  <si>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</si>
  <si>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</si>
  <si>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</si>
  <si>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</si>
  <si>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</si>
  <si>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</si>
  <si>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</si>
  <si>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</si>
  <si>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</si>
  <si>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</si>
  <si>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</si>
  <si>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</si>
  <si>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</si>
  <si>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</si>
  <si>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</si>
  <si>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</si>
  <si>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</si>
  <si>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</si>
  <si>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</si>
  <si>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</si>
  <si>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</si>
  <si>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</si>
  <si>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</si>
  <si>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</si>
  <si>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</si>
  <si>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</si>
  <si>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</si>
  <si>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</si>
  <si>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</si>
  <si>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</si>
  <si>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</si>
  <si>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</si>
  <si>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</si>
  <si>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</si>
  <si>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</si>
  <si>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</si>
  <si>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</si>
  <si>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</si>
  <si>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</si>
  <si>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</si>
  <si>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</si>
  <si>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</si>
  <si>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</si>
  <si>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</si>
  <si>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</si>
  <si>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</si>
  <si>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</si>
  <si>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</si>
  <si>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</si>
  <si>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</si>
  <si>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</si>
  <si>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</si>
  <si>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</si>
  <si>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</si>
  <si>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</si>
  <si>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</si>
  <si>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</si>
  <si>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</si>
  <si>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</si>
  <si>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</si>
  <si>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</si>
  <si>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</si>
  <si>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</si>
  <si>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</si>
  <si>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</si>
  <si>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</si>
  <si>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</si>
  <si>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</si>
  <si>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</si>
  <si>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</si>
  <si>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</si>
  <si>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</si>
  <si>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</si>
  <si>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</si>
  <si>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</si>
  <si>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</si>
  <si>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</si>
  <si>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</si>
  <si>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</si>
  <si>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</si>
  <si>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</si>
  <si>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</si>
  <si>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</si>
  <si>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</si>
  <si>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</si>
  <si>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</si>
  <si>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</si>
  <si>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</si>
  <si>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</si>
  <si>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</si>
  <si>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</si>
  <si>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</si>
  <si>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</si>
  <si>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</si>
  <si>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</si>
  <si>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</si>
  <si>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</si>
  <si>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</si>
  <si>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</si>
  <si>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</si>
  <si>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</si>
  <si>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</si>
  <si>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</si>
  <si>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</si>
  <si>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</si>
  <si>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</si>
  <si>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</si>
  <si>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</si>
  <si>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</si>
  <si>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</si>
  <si>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</si>
  <si>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</si>
  <si>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</si>
  <si>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</si>
  <si>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</si>
  <si>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</si>
  <si>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</si>
  <si>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</si>
  <si>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</si>
  <si>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</si>
  <si>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</si>
  <si>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</si>
  <si>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</si>
  <si>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</si>
  <si>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</si>
  <si>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</si>
  <si>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</si>
  <si>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</si>
  <si>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</si>
  <si>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</si>
  <si>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</si>
  <si>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</si>
  <si>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</si>
  <si>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</si>
  <si>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</si>
  <si>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</si>
  <si>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</si>
  <si>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</si>
  <si>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</si>
  <si>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</si>
  <si>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</si>
  <si>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</si>
  <si>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</si>
  <si>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</si>
  <si>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</si>
  <si>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</si>
  <si>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</si>
  <si>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</si>
  <si>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</si>
  <si>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</si>
  <si>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</si>
  <si>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</si>
  <si>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</si>
  <si>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</si>
  <si>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</si>
  <si>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</si>
  <si>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</si>
  <si>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</si>
  <si>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</si>
  <si>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</si>
  <si>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</si>
  <si>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</si>
  <si>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</si>
  <si>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</si>
  <si>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</si>
  <si>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</si>
  <si>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</si>
  <si>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</si>
  <si>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</si>
  <si>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</si>
  <si>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</si>
  <si>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</si>
  <si>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</si>
  <si>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</si>
  <si>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</si>
  <si>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</si>
  <si>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</si>
  <si>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</si>
  <si>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</si>
  <si>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</si>
  <si>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</si>
  <si>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</si>
  <si>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</si>
  <si>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</si>
  <si>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</si>
  <si>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</si>
  <si>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</si>
  <si>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</si>
  <si>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</si>
  <si>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</si>
  <si>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</si>
  <si>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</si>
  <si>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</si>
  <si>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</si>
  <si>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</si>
  <si>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</si>
  <si>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</si>
  <si>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</si>
  <si>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</si>
  <si>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</si>
  <si>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</si>
  <si>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</si>
  <si>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</si>
  <si>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</si>
  <si>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</si>
  <si>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</si>
  <si>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</si>
  <si>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</si>
  <si>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</si>
  <si>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</si>
  <si>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</si>
  <si>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</si>
  <si>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</si>
  <si>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</si>
  <si>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</si>
  <si>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</si>
  <si>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</si>
  <si>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</si>
  <si>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</si>
  <si>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</si>
  <si>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</si>
  <si>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</si>
  <si>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</si>
  <si>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</si>
  <si>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</si>
  <si>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</si>
  <si>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</si>
  <si>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</si>
  <si>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</si>
  <si>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</si>
  <si>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</si>
  <si>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</si>
  <si>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</si>
  <si>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</si>
  <si>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</si>
  <si>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</si>
  <si>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</si>
  <si>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</si>
  <si>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</si>
  <si>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</si>
  <si>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</si>
  <si>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</si>
  <si>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</si>
  <si>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</si>
  <si>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</si>
  <si>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</si>
  <si>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</si>
  <si>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</si>
  <si>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</si>
  <si>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</si>
  <si>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</si>
  <si>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</si>
  <si>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</si>
  <si>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</si>
  <si>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</si>
  <si>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</si>
  <si>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</si>
  <si>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</si>
  <si>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</si>
  <si>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</si>
  <si>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</si>
  <si>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</si>
  <si>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</si>
  <si>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</si>
  <si>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</si>
  <si>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</si>
  <si>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</si>
  <si>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</si>
  <si>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</si>
  <si>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</si>
  <si>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</si>
  <si>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</si>
  <si>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</si>
  <si>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</si>
  <si>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</si>
  <si>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</si>
  <si>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</si>
  <si>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</si>
  <si>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</si>
  <si>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</si>
  <si>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</si>
  <si>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</si>
  <si>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</si>
  <si>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</si>
  <si>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</si>
  <si>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</si>
  <si>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</si>
  <si>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</si>
  <si>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</si>
  <si>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</si>
  <si>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</si>
  <si>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</si>
  <si>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</si>
  <si>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</si>
  <si>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</si>
  <si>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</si>
  <si>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</si>
  <si>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</si>
  <si>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</si>
  <si>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</si>
  <si>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</si>
  <si>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</si>
  <si>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</si>
  <si>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</si>
  <si>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</si>
  <si>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</si>
  <si>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</si>
  <si>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</si>
  <si>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</si>
  <si>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</si>
  <si>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</si>
  <si>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</si>
  <si>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</si>
  <si>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</si>
  <si>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</si>
  <si>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</si>
  <si>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</si>
  <si>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</si>
  <si>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</si>
  <si>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</si>
  <si>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</si>
  <si>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</si>
  <si>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</si>
  <si>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</si>
  <si>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</si>
  <si>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</si>
  <si>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</si>
  <si>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</si>
  <si>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</si>
  <si>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</si>
  <si>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</si>
  <si>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</si>
  <si>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</si>
  <si>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</si>
  <si>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</si>
  <si>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</si>
  <si>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</si>
  <si>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</si>
  <si>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</si>
  <si>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</si>
  <si>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</si>
  <si>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</si>
  <si>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</si>
  <si>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</si>
  <si>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</si>
  <si>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</si>
  <si>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</si>
  <si>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</si>
  <si>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</si>
  <si>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</si>
  <si>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</si>
  <si>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</si>
  <si>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</si>
  <si>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</si>
  <si>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</si>
  <si>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</si>
  <si>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</si>
  <si>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</si>
  <si>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</si>
  <si>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</si>
  <si>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</si>
  <si>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</si>
  <si>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</si>
  <si>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</si>
  <si>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</si>
  <si>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</si>
  <si>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</si>
  <si>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</si>
  <si>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</si>
  <si>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</si>
  <si>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</si>
  <si>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</si>
  <si>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</si>
  <si>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</si>
  <si>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</si>
  <si>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</si>
  <si>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</si>
  <si>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</si>
  <si>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</si>
  <si>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</si>
  <si>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</si>
  <si>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</si>
  <si>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</si>
  <si>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</si>
  <si>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</si>
  <si>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</si>
  <si>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</si>
  <si>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</si>
  <si>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</si>
  <si>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</si>
  <si>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</si>
  <si>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</si>
  <si>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</si>
  <si>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</si>
  <si>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</si>
  <si>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</si>
  <si>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</si>
  <si>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</si>
  <si>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</si>
  <si>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</si>
  <si>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</si>
  <si>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</si>
  <si>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</si>
  <si>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</si>
  <si>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</si>
  <si>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</si>
  <si>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</si>
  <si>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</si>
  <si>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</si>
  <si>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</si>
  <si>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</si>
  <si>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</si>
  <si>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</si>
  <si>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</si>
  <si>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</si>
  <si>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</si>
  <si>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</si>
  <si>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</si>
  <si>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</si>
  <si>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</si>
  <si>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</si>
  <si>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</si>
  <si>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</si>
  <si>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</si>
  <si>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</si>
  <si>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</si>
  <si>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</si>
  <si>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</si>
  <si>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</si>
  <si>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</si>
  <si>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</si>
  <si>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</si>
  <si>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</si>
  <si>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</si>
  <si>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</si>
  <si>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</si>
  <si>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</si>
  <si>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</si>
  <si>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</si>
  <si>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</si>
  <si>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</si>
  <si>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</si>
  <si>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</si>
  <si>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</si>
  <si>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</si>
  <si>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</si>
  <si>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</si>
  <si>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</si>
  <si>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</si>
  <si>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</si>
  <si>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</si>
  <si>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</si>
  <si>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</si>
  <si>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</si>
  <si>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</si>
  <si>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</si>
  <si>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</si>
  <si>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</si>
  <si>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</si>
  <si>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</si>
  <si>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</si>
  <si>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</si>
  <si>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</si>
  <si>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</si>
  <si>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</si>
  <si>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</si>
  <si>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</si>
  <si>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</si>
  <si>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</si>
  <si>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</si>
  <si>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</si>
  <si>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</si>
  <si>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</si>
  <si>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</si>
  <si>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</si>
  <si>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</si>
  <si>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</si>
  <si>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</si>
  <si>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</si>
  <si>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</si>
  <si>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</si>
  <si>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</si>
  <si>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</si>
  <si>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</si>
  <si>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</si>
  <si>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</si>
  <si>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</si>
  <si>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</si>
  <si>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</si>
  <si>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</si>
  <si>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</si>
  <si>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</si>
  <si>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</si>
  <si>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</si>
  <si>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</si>
  <si>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</si>
  <si>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</si>
  <si>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</si>
  <si>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</si>
  <si>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</si>
  <si>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</si>
  <si>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</si>
  <si>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</si>
  <si>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</si>
  <si>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</si>
  <si>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</si>
  <si>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</si>
  <si>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</si>
  <si>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</si>
  <si>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</si>
  <si>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</si>
  <si>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</si>
  <si>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</si>
  <si>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</si>
  <si>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</si>
  <si>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</si>
  <si>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</si>
  <si>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</si>
  <si>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</si>
  <si>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</si>
  <si>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</si>
  <si>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</si>
  <si>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</si>
  <si>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</si>
  <si>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</si>
  <si>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</si>
  <si>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</si>
  <si>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</si>
  <si>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</si>
  <si>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</si>
  <si>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</si>
  <si>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</si>
  <si>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</si>
  <si>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</si>
  <si>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</si>
  <si>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</si>
  <si>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</si>
  <si>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</si>
  <si>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</si>
  <si>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</si>
  <si>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</si>
  <si>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</si>
  <si>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</si>
  <si>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</si>
  <si>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</si>
  <si>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</si>
  <si>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</si>
  <si>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</si>
  <si>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</si>
  <si>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</si>
  <si>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</si>
  <si>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</si>
  <si>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</si>
  <si>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</si>
  <si>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</si>
  <si>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</si>
  <si>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</si>
  <si>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</si>
  <si>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</si>
  <si>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</si>
  <si>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</si>
  <si>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</si>
  <si>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</si>
  <si>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</si>
  <si>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</si>
  <si>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</si>
  <si>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</si>
  <si>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</si>
  <si>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</si>
  <si>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</si>
  <si>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</si>
  <si>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</si>
  <si>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</si>
  <si>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</si>
  <si>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</si>
  <si>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</si>
  <si>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</si>
  <si>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</si>
  <si>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</si>
  <si>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</si>
  <si>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</si>
  <si>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</si>
  <si>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</si>
  <si>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</si>
  <si>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</si>
  <si>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</si>
  <si>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</si>
  <si>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</si>
  <si>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</si>
  <si>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</si>
  <si>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</si>
  <si>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</si>
  <si>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</si>
  <si>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</si>
  <si>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</si>
  <si>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</si>
  <si>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</si>
  <si>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</si>
  <si>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</si>
  <si>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</si>
  <si>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</si>
  <si>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</si>
  <si>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</si>
  <si>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</si>
  <si>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</si>
  <si>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</si>
  <si>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</si>
  <si>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</si>
  <si>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</si>
  <si>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</si>
  <si>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</si>
  <si>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</si>
  <si>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</si>
  <si>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</si>
  <si>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</si>
  <si>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</si>
  <si>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</si>
  <si>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</si>
  <si>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</si>
  <si>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</si>
  <si>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</si>
  <si>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</si>
  <si>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</si>
  <si>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</si>
  <si>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</si>
  <si>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</si>
  <si>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</si>
  <si>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</si>
  <si>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</si>
  <si>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</si>
  <si>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</si>
  <si>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</si>
  <si>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</si>
  <si>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</si>
  <si>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</si>
  <si>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</si>
  <si>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</si>
  <si>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</si>
  <si>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</si>
  <si>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</si>
  <si>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</si>
  <si>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</si>
  <si>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</si>
  <si>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</si>
  <si>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</si>
  <si>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</si>
  <si>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</si>
  <si>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</si>
  <si>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</si>
  <si>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</si>
  <si>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</si>
  <si>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</si>
  <si>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</si>
  <si>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</si>
  <si>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</si>
  <si>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</si>
  <si>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</si>
  <si>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</si>
  <si>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</si>
  <si>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</si>
  <si>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</si>
  <si>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</si>
  <si>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</si>
  <si>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</si>
  <si>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</si>
  <si>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</si>
  <si>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</si>
  <si>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</si>
  <si>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</si>
  <si>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</si>
  <si>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</si>
  <si>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</si>
  <si>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</si>
  <si>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</si>
  <si>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</si>
  <si>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</si>
  <si>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</si>
  <si>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</si>
  <si>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</si>
  <si>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</si>
  <si>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</si>
  <si>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</si>
  <si>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</si>
  <si>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</si>
  <si>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</si>
  <si>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</si>
  <si>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</si>
  <si>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</si>
  <si>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</si>
  <si>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</si>
  <si>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</si>
  <si>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</si>
  <si>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</si>
  <si>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</si>
  <si>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</si>
  <si>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</si>
  <si>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</si>
  <si>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</si>
  <si>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</si>
  <si>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</si>
  <si>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</si>
  <si>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</si>
  <si>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</si>
  <si>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</si>
  <si>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</si>
  <si>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</si>
  <si>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</si>
  <si>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</si>
  <si>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</si>
  <si>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</si>
  <si>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</si>
  <si>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</si>
  <si>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</si>
  <si>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</si>
  <si>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</si>
  <si>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</si>
  <si>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</si>
  <si>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</si>
  <si>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</si>
  <si>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</si>
  <si>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</si>
  <si>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</si>
  <si>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</si>
  <si>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</si>
  <si>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</si>
  <si>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</si>
  <si>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</si>
  <si>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</si>
  <si>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</si>
  <si>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</si>
  <si>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</si>
  <si>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</si>
  <si>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</si>
  <si>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</si>
  <si>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</si>
  <si>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</si>
  <si>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</si>
  <si>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</si>
  <si>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</si>
  <si>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</si>
  <si>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</si>
  <si>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</si>
  <si>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</si>
  <si>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</si>
  <si>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</si>
  <si>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</si>
  <si>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</si>
  <si>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</si>
  <si>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</si>
  <si>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</si>
  <si>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</si>
  <si>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</si>
  <si>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</si>
  <si>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</si>
  <si>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</si>
  <si>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</si>
  <si>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</si>
  <si>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</si>
  <si>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</si>
  <si>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</si>
  <si>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</si>
  <si>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</si>
  <si>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</si>
  <si>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</si>
  <si>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</si>
  <si>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</si>
  <si>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</si>
  <si>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</si>
  <si>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</si>
  <si>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</si>
  <si>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</si>
  <si>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</si>
  <si>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</si>
  <si>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</si>
  <si>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</si>
  <si>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</si>
  <si>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</si>
  <si>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</si>
  <si>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</si>
  <si>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</si>
  <si>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</si>
  <si>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</si>
  <si>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</si>
  <si>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</si>
  <si>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</si>
  <si>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</si>
  <si>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</si>
  <si>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</si>
  <si>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</si>
  <si>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</si>
  <si>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</si>
  <si>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</si>
  <si>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</si>
  <si>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</si>
  <si>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</si>
  <si>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</si>
  <si>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</si>
  <si>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</si>
  <si>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</si>
  <si>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</si>
  <si>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</si>
  <si>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</si>
  <si>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</si>
  <si>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</si>
  <si>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</si>
  <si>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</si>
  <si>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</si>
  <si>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</si>
  <si>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</si>
  <si>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</si>
  <si>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</si>
  <si>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</si>
  <si>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</si>
  <si>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</si>
  <si>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</si>
  <si>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</si>
  <si>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</si>
  <si>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</si>
  <si>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</si>
  <si>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</si>
  <si>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</si>
  <si>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</si>
  <si>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</si>
  <si>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</si>
  <si>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</si>
  <si>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</si>
  <si>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</si>
  <si>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</si>
  <si>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</si>
  <si>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</si>
  <si>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</si>
  <si>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</si>
  <si>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</si>
  <si>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</si>
  <si>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</si>
  <si>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</si>
  <si>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</si>
  <si>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</si>
  <si>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</si>
  <si>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</si>
  <si>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</si>
  <si>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</si>
  <si>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</si>
  <si>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</si>
  <si>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</si>
  <si>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</si>
  <si>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</si>
  <si>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</si>
  <si>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</si>
  <si>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</si>
  <si>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</si>
  <si>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</si>
  <si>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</si>
  <si>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</si>
  <si>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</si>
  <si>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</si>
  <si>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</si>
  <si>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</si>
  <si>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</si>
  <si>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</si>
  <si>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</si>
  <si>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</si>
  <si>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</si>
  <si>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</si>
  <si>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</si>
  <si>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</si>
  <si>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</si>
  <si>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</si>
  <si>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</si>
  <si>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</si>
  <si>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</si>
  <si>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</si>
  <si>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</si>
  <si>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</si>
  <si>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</si>
  <si>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</si>
  <si>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</si>
  <si>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</si>
  <si>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</si>
  <si>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</si>
  <si>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</si>
  <si>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</si>
  <si>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</si>
  <si>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</si>
  <si>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</si>
  <si>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</si>
  <si>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</si>
  <si>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</si>
  <si>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</si>
  <si>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</si>
  <si>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</si>
  <si>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</si>
  <si>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</si>
  <si>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</si>
  <si>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</si>
  <si>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</si>
  <si>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</si>
  <si>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</si>
  <si>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</si>
  <si>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</si>
  <si>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</si>
  <si>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</si>
  <si>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</si>
  <si>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</si>
  <si>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</si>
  <si>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</si>
  <si>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</si>
  <si>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</si>
  <si>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</si>
  <si>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</si>
  <si>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</si>
  <si>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</si>
  <si>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</si>
  <si>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</si>
  <si>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</si>
  <si>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</si>
  <si>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</si>
  <si>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</si>
  <si>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</si>
  <si>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</si>
  <si>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</si>
  <si>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</si>
  <si>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</si>
  <si>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</si>
  <si>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</si>
  <si>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</si>
  <si>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</si>
  <si>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</si>
  <si>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</si>
  <si>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</si>
  <si>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</si>
  <si>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</si>
  <si>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</si>
  <si>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</si>
  <si>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</si>
  <si>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</si>
  <si>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</si>
  <si>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</si>
  <si>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</si>
  <si>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</si>
  <si>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</si>
  <si>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</si>
  <si>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</si>
  <si>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</si>
  <si>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</si>
  <si>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</si>
  <si>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</si>
  <si>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</si>
  <si>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</si>
  <si>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</si>
  <si>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</si>
  <si>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</si>
  <si>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</si>
  <si>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</si>
  <si>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</si>
  <si>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</si>
  <si>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</si>
  <si>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</si>
  <si>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</si>
  <si>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</si>
  <si>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</si>
  <si>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</si>
  <si>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</si>
  <si>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</si>
  <si>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</si>
  <si>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</si>
  <si>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</si>
  <si>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</si>
  <si>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</si>
  <si>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</si>
  <si>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</si>
  <si>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</si>
  <si>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</si>
  <si>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</si>
  <si>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</si>
  <si>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</si>
  <si>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</si>
  <si>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</si>
  <si>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</si>
  <si>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</si>
  <si>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</si>
  <si>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</si>
  <si>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</si>
  <si>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</si>
  <si>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</si>
  <si>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</si>
  <si>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</si>
  <si>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</si>
  <si>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</si>
  <si>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</si>
  <si>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</si>
  <si>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</si>
  <si>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</si>
  <si>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</si>
  <si>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</si>
  <si>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</si>
  <si>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</si>
  <si>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</si>
  <si>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</si>
  <si>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</si>
  <si>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</si>
  <si>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</si>
  <si>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</si>
  <si>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</si>
  <si>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</si>
  <si>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</si>
  <si>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</si>
  <si>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</si>
  <si>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</si>
  <si>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</si>
  <si>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</si>
  <si>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</si>
  <si>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</si>
  <si>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</si>
  <si>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</si>
  <si>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</si>
  <si>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</si>
  <si>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</si>
  <si>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</si>
  <si>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</si>
  <si>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</si>
  <si>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</si>
  <si>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</si>
  <si>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</si>
  <si>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</si>
  <si>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</si>
  <si>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</si>
  <si>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</si>
  <si>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</si>
  <si>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</si>
  <si>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</si>
  <si>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</si>
  <si>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</si>
  <si>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</si>
  <si>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</si>
  <si>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</si>
  <si>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</si>
  <si>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</si>
  <si>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</si>
  <si>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</si>
  <si>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</si>
  <si>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</si>
  <si>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</si>
  <si>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</si>
  <si>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</si>
  <si>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</si>
  <si>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</si>
  <si>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</si>
  <si>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</si>
  <si>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</si>
  <si>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</si>
  <si>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</si>
  <si>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</si>
  <si>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</si>
  <si>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</si>
  <si>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</si>
  <si>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</si>
  <si>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</si>
  <si>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</si>
  <si>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</si>
  <si>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</si>
  <si>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</si>
  <si>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</si>
  <si>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</si>
  <si>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</si>
  <si>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</si>
  <si>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</si>
  <si>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</si>
  <si>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</si>
  <si>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</si>
  <si>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</si>
  <si>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</si>
  <si>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</si>
  <si>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</si>
  <si>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</si>
  <si>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</si>
  <si>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</si>
  <si>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</si>
  <si>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</si>
  <si>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</si>
  <si>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</si>
  <si>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</si>
  <si>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</si>
  <si>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</si>
  <si>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</si>
  <si>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</si>
  <si>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</si>
  <si>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</si>
  <si>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</si>
  <si>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</si>
  <si>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</si>
  <si>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</si>
  <si>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</si>
  <si>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</si>
  <si>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</si>
  <si>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</si>
  <si>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</si>
  <si>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</si>
  <si>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</si>
  <si>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</si>
  <si>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</si>
  <si>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</si>
  <si>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</si>
  <si>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</si>
  <si>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</si>
  <si>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</si>
  <si>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</si>
  <si>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</si>
  <si>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</si>
  <si>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</si>
  <si>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</si>
  <si>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</si>
  <si>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</si>
  <si>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</si>
  <si>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</si>
  <si>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</si>
  <si>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</si>
  <si>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</si>
  <si>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</si>
  <si>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</si>
  <si>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</si>
  <si>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</si>
  <si>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</si>
  <si>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</si>
  <si>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</si>
  <si>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</si>
  <si>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</si>
  <si>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</si>
  <si>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</si>
  <si>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</si>
  <si>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</si>
  <si>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</si>
  <si>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</si>
  <si>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</si>
  <si>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</si>
  <si>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</si>
  <si>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</si>
  <si>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</si>
  <si>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</si>
  <si>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</si>
  <si>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</si>
  <si>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</si>
  <si>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</si>
  <si>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</si>
  <si>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</si>
  <si>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</si>
  <si>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</si>
  <si>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</si>
  <si>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</si>
  <si>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</si>
  <si>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</si>
  <si>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</si>
  <si>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</si>
  <si>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</si>
  <si>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</si>
  <si>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</si>
  <si>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</si>
  <si>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</si>
  <si>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</si>
  <si>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</si>
  <si>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</si>
  <si>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</si>
  <si>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</si>
  <si>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</si>
  <si>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</si>
  <si>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</si>
  <si>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</si>
  <si>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</si>
  <si>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</si>
  <si>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</si>
  <si>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</si>
  <si>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</si>
  <si>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</si>
  <si>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</si>
  <si>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</si>
  <si>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</si>
  <si>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</si>
  <si>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</si>
  <si>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</si>
  <si>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</si>
  <si>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</si>
  <si>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</si>
  <si>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</si>
  <si>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</si>
  <si>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</si>
  <si>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</si>
  <si>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</si>
  <si>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</si>
  <si>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</si>
  <si>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</si>
  <si>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</si>
  <si>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</si>
  <si>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</si>
  <si>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</si>
  <si>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</si>
  <si>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</si>
  <si>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</si>
  <si>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</si>
  <si>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</si>
  <si>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</si>
  <si>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</si>
  <si>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</si>
  <si>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</si>
  <si>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</si>
  <si>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</si>
  <si>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</si>
  <si>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</si>
  <si>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</si>
  <si>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</si>
  <si>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</si>
  <si>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</si>
  <si>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</si>
  <si>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</si>
  <si>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</si>
  <si>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</si>
  <si>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</si>
  <si>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</si>
  <si>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</si>
  <si>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</si>
  <si>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</si>
  <si>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</si>
  <si>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</si>
  <si>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</si>
  <si>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</si>
  <si>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</si>
  <si>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</si>
  <si>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</si>
  <si>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</si>
  <si>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</si>
  <si>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</si>
  <si>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</si>
  <si>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</si>
  <si>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</si>
  <si>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</si>
  <si>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</si>
  <si>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</si>
  <si>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</si>
  <si>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</si>
  <si>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</si>
  <si>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</si>
  <si>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</si>
  <si>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</si>
  <si>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</si>
  <si>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</si>
  <si>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</si>
  <si>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</si>
  <si>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</si>
  <si>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</si>
  <si>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</si>
  <si>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</si>
  <si>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</si>
  <si>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</si>
  <si>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</si>
  <si>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</si>
  <si>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</si>
  <si>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</si>
  <si>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</si>
  <si>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</si>
  <si>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</si>
  <si>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</si>
  <si>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</si>
  <si>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</si>
  <si>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</si>
  <si>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</si>
  <si>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</si>
  <si>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</si>
  <si>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</si>
  <si>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</si>
  <si>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</si>
  <si>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</si>
  <si>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</si>
  <si>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</si>
  <si>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</si>
  <si>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</si>
  <si>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</si>
  <si>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</si>
  <si>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</si>
  <si>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</si>
  <si>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</si>
  <si>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</si>
  <si>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</si>
  <si>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</si>
  <si>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</si>
  <si>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</si>
  <si>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</si>
  <si>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</si>
  <si>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</si>
  <si>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</si>
  <si>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</si>
  <si>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</si>
  <si>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</si>
  <si>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</si>
  <si>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</si>
  <si>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</si>
  <si>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</si>
  <si>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</si>
  <si>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</si>
  <si>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</si>
  <si>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</si>
  <si>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</si>
  <si>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</si>
  <si>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</si>
  <si>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</si>
  <si>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</si>
  <si>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</si>
  <si>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</si>
  <si>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</si>
  <si>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</si>
  <si>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</si>
  <si>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</si>
  <si>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</si>
  <si>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</si>
  <si>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</si>
  <si>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</si>
  <si>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</si>
  <si>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</si>
  <si>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</si>
  <si>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</si>
  <si>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</si>
  <si>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</si>
  <si>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</si>
  <si>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</si>
  <si>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</si>
  <si>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</si>
  <si>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</si>
  <si>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</si>
  <si>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</si>
  <si>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</si>
  <si>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</si>
  <si>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</si>
  <si>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</si>
  <si>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</si>
  <si>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</si>
  <si>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</si>
  <si>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</si>
  <si>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</si>
  <si>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</si>
  <si>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</si>
  <si>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</si>
  <si>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</si>
  <si>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</si>
  <si>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</si>
  <si>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</si>
  <si>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</si>
  <si>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</si>
  <si>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</si>
  <si>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</si>
  <si>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</si>
  <si>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</si>
  <si>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</si>
  <si>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</si>
  <si>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</si>
  <si>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</si>
  <si>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</si>
  <si>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</si>
  <si>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</si>
  <si>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</si>
  <si>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</si>
  <si>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</si>
  <si>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</si>
  <si>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</si>
  <si>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</si>
  <si>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</si>
  <si>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</si>
  <si>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</si>
  <si>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</si>
  <si>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</si>
  <si>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</si>
  <si>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</si>
  <si>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</si>
  <si>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</si>
  <si>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</si>
  <si>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</si>
  <si>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</si>
  <si>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</si>
  <si>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</si>
  <si>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</si>
  <si>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</si>
  <si>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</si>
  <si>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</si>
  <si>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</si>
  <si>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</si>
  <si>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</si>
  <si>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</si>
  <si>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</si>
  <si>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</si>
  <si>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</si>
  <si>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</si>
  <si>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</si>
  <si>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</si>
  <si>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</si>
  <si>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</si>
  <si>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</si>
  <si>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</si>
  <si>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</si>
  <si>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</si>
  <si>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</si>
  <si>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</si>
  <si>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</si>
  <si>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</si>
  <si>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</si>
  <si>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</si>
  <si>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</si>
  <si>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</si>
  <si>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</si>
  <si>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</si>
  <si>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</si>
  <si>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</si>
  <si>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</si>
  <si>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</si>
  <si>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</si>
  <si>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</si>
  <si>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</si>
  <si>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</si>
  <si>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</si>
  <si>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</si>
  <si>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</si>
  <si>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</si>
  <si>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</si>
  <si>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</si>
  <si>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</si>
  <si>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</si>
  <si>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</si>
  <si>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</si>
  <si>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</si>
  <si>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</si>
  <si>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</si>
  <si>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</si>
  <si>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</si>
  <si>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</si>
  <si>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</si>
  <si>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</si>
  <si>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</si>
  <si>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</si>
  <si>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</si>
  <si>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</si>
  <si>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</si>
  <si>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</si>
  <si>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</si>
  <si>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</si>
  <si>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</si>
  <si>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</si>
  <si>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</si>
  <si>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</si>
  <si>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</si>
  <si>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</si>
  <si>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</si>
  <si>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</si>
  <si>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</si>
  <si>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</si>
  <si>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</si>
  <si>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</si>
  <si>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</si>
  <si>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</si>
  <si>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</si>
  <si>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</si>
  <si>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</si>
  <si>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</si>
  <si>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</si>
  <si>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</si>
  <si>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</si>
  <si>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</si>
  <si>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</si>
  <si>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</si>
  <si>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</si>
  <si>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</si>
  <si>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</si>
  <si>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</si>
  <si>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</si>
  <si>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</si>
  <si>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</si>
  <si>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</si>
  <si>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</si>
  <si>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</si>
  <si>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</si>
  <si>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</si>
  <si>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</si>
  <si>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</si>
  <si>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</si>
  <si>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</si>
  <si>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</si>
  <si>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</si>
  <si>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</si>
  <si>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</si>
  <si>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</si>
  <si>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</si>
  <si>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</si>
  <si>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</si>
  <si>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</si>
  <si>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</si>
  <si>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</si>
  <si>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</si>
  <si>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</si>
  <si>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</si>
  <si>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</si>
  <si>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</si>
  <si>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</si>
  <si>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</si>
  <si>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</si>
  <si>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</si>
  <si>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</si>
  <si>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</si>
  <si>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</si>
  <si>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</si>
  <si>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</si>
  <si>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</si>
  <si>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</si>
  <si>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</si>
  <si>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</si>
  <si>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</si>
  <si>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</si>
  <si>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</si>
  <si>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</si>
  <si>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</si>
  <si>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</si>
  <si>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</si>
  <si>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</si>
  <si>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</si>
  <si>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</si>
  <si>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</si>
  <si>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</si>
  <si>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</si>
  <si>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</si>
  <si>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</si>
  <si>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</si>
  <si>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</si>
  <si>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</si>
  <si>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</si>
  <si>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</si>
  <si>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</si>
  <si>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</si>
  <si>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</si>
  <si>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</si>
  <si>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</si>
  <si>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</si>
  <si>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</si>
  <si>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</si>
  <si>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</si>
  <si>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</si>
  <si>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</si>
  <si>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</si>
  <si>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</si>
  <si>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</si>
  <si>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</si>
  <si>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</si>
  <si>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</si>
  <si>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</si>
  <si>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</si>
  <si>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</si>
  <si>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</si>
  <si>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</si>
  <si>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</si>
  <si>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</si>
  <si>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</si>
  <si>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</si>
  <si>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</si>
  <si>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</si>
  <si>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</si>
  <si>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</si>
  <si>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</si>
  <si>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</si>
  <si>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</si>
  <si>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</si>
  <si>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</si>
  <si>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</si>
  <si>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</si>
  <si>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</si>
  <si>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</si>
  <si>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</si>
  <si>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</si>
  <si>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</si>
  <si>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</si>
  <si>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</si>
  <si>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</si>
  <si>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</si>
  <si>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</si>
  <si>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</si>
  <si>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</si>
  <si>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</si>
  <si>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</si>
  <si>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</si>
  <si>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</si>
  <si>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</si>
  <si>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</si>
  <si>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</si>
  <si>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</si>
  <si>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</si>
  <si>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</si>
  <si>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</si>
  <si>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</si>
  <si>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</si>
  <si>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</si>
  <si>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</si>
  <si>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</si>
  <si>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</si>
  <si>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</si>
  <si>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</si>
  <si>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</si>
  <si>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</si>
  <si>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</si>
  <si>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</si>
  <si>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</si>
  <si>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</si>
  <si>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</si>
  <si>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</si>
  <si>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</si>
  <si>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</si>
  <si>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</si>
  <si>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</si>
  <si>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</si>
  <si>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</si>
  <si>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</si>
  <si>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</si>
  <si>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</si>
  <si>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</si>
  <si>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</si>
  <si>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</si>
  <si>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</si>
  <si>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</si>
  <si>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</si>
  <si>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</si>
  <si>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</si>
  <si>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</si>
  <si>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</si>
  <si>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</si>
  <si>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</si>
  <si>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</si>
  <si>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</si>
  <si>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</si>
  <si>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</si>
  <si>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</si>
  <si>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</si>
  <si>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</si>
  <si>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</si>
  <si>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</si>
  <si>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</si>
  <si>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</si>
  <si>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</si>
  <si>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</si>
  <si>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</si>
  <si>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</si>
  <si>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</si>
  <si>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</si>
  <si>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</si>
  <si>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</si>
  <si>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</si>
  <si>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</si>
  <si>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</si>
  <si>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</si>
  <si>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</si>
  <si>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</si>
  <si>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</si>
  <si>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</si>
  <si>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</si>
  <si>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</si>
  <si>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</si>
  <si>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</si>
  <si>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</si>
  <si>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</si>
  <si>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</si>
  <si>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</si>
  <si>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</si>
  <si>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</si>
  <si>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</si>
  <si>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</si>
  <si>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</si>
  <si>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</si>
  <si>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</si>
  <si>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</si>
  <si>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</si>
  <si>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</si>
  <si>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</si>
  <si>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</si>
  <si>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</si>
  <si>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</si>
  <si>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</si>
  <si>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</si>
  <si>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</si>
  <si>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</si>
  <si>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</si>
  <si>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</si>
  <si>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</si>
  <si>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</si>
  <si>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</si>
  <si>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</si>
  <si>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</si>
  <si>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</si>
  <si>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</si>
  <si>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</si>
  <si>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</si>
  <si>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</si>
  <si>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</si>
  <si>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</si>
  <si>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</si>
  <si>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</si>
  <si>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</si>
  <si>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</si>
  <si>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</si>
  <si>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</si>
  <si>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</si>
  <si>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</si>
  <si>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</si>
  <si>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</si>
  <si>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</si>
  <si>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</si>
  <si>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</si>
  <si>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</si>
  <si>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</si>
  <si>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</si>
  <si>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</si>
  <si>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</si>
  <si>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</si>
  <si>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</si>
  <si>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</si>
  <si>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</si>
  <si>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</si>
  <si>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</si>
  <si>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</si>
  <si>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</si>
  <si>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</si>
  <si>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</si>
  <si>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</si>
  <si>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</si>
  <si>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</si>
  <si>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</si>
  <si>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</si>
  <si>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</si>
  <si>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</si>
  <si>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</si>
  <si>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</si>
  <si>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</si>
  <si>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</si>
  <si>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</si>
  <si>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</si>
  <si>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</si>
  <si>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</si>
  <si>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</si>
  <si>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</si>
  <si>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</si>
  <si>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</si>
  <si>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</si>
  <si>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</si>
  <si>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</si>
  <si>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</si>
  <si>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</si>
  <si>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</si>
  <si>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</si>
  <si>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</si>
  <si>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</si>
  <si>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</si>
  <si>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</si>
  <si>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</si>
  <si>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</si>
  <si>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</si>
  <si>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</si>
  <si>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</si>
  <si>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</si>
  <si>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</si>
  <si>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</si>
  <si>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</si>
  <si>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</si>
  <si>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</si>
  <si>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</si>
  <si>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</si>
  <si>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</si>
  <si>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</si>
  <si>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</si>
  <si>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</si>
  <si>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</si>
  <si>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</si>
  <si>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</si>
  <si>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</si>
  <si>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</si>
  <si>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</si>
  <si>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</si>
  <si>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</si>
  <si>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</si>
  <si>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</si>
  <si>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</si>
  <si>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</si>
  <si>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</si>
  <si>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</si>
  <si>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</si>
  <si>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</si>
  <si>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</si>
  <si>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</si>
  <si>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</si>
  <si>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</si>
  <si>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</si>
  <si>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</si>
  <si>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</si>
  <si>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</si>
  <si>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</si>
  <si>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</si>
  <si>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</si>
  <si>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</si>
  <si>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</si>
  <si>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</si>
  <si>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</si>
  <si>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</si>
  <si>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</si>
  <si>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</si>
  <si>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</si>
  <si>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</si>
  <si>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</si>
  <si>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</si>
  <si>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</si>
  <si>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</si>
  <si>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</si>
  <si>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</si>
  <si>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</si>
  <si>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</si>
  <si>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</si>
  <si>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</si>
  <si>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</si>
  <si>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</si>
  <si>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</si>
  <si>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</si>
  <si>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</si>
  <si>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</si>
  <si>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</si>
  <si>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</si>
  <si>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</si>
  <si>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</si>
  <si>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</si>
  <si>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</si>
  <si>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</si>
  <si>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</si>
  <si>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</si>
  <si>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</si>
  <si>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</si>
  <si>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</si>
  <si>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</si>
  <si>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</si>
  <si>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</si>
  <si>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</si>
  <si>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</si>
  <si>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</si>
  <si>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</si>
  <si>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</si>
  <si>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</si>
  <si>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</si>
  <si>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</si>
  <si>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</si>
  <si>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</si>
  <si>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</si>
  <si>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</si>
  <si>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</si>
  <si>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</si>
  <si>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</si>
  <si>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</si>
  <si>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</si>
  <si>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</si>
  <si>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</si>
  <si>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</si>
  <si>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</si>
  <si>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</si>
  <si>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</si>
  <si>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</si>
  <si>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</si>
  <si>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</si>
  <si>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</si>
  <si>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</si>
  <si>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</si>
  <si>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</si>
  <si>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</si>
  <si>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</si>
  <si>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</si>
  <si>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</si>
  <si>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</si>
  <si>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</si>
  <si>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</si>
  <si>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</si>
  <si>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</si>
  <si>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</si>
  <si>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</si>
  <si>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</si>
  <si>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</si>
  <si>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</si>
  <si>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</si>
  <si>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</si>
  <si>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</si>
  <si>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</si>
  <si>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</si>
  <si>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</si>
  <si>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</si>
  <si>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</si>
  <si>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</si>
  <si>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</si>
  <si>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</si>
  <si>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</si>
  <si>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</si>
  <si>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</si>
  <si>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</si>
  <si>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</si>
  <si>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</si>
  <si>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</si>
  <si>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</si>
  <si>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</si>
  <si>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</si>
  <si>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</si>
  <si>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</si>
  <si>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</si>
  <si>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</si>
  <si>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</si>
  <si>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</si>
  <si>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</si>
  <si>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</si>
  <si>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</si>
  <si>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</si>
  <si>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</si>
  <si>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</si>
  <si>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</si>
  <si>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</si>
  <si>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</si>
  <si>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</si>
  <si>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</si>
  <si>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</si>
  <si>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</si>
  <si>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</si>
  <si>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</si>
  <si>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</si>
  <si>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</si>
  <si>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</si>
  <si>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</si>
  <si>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</si>
  <si>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</si>
  <si>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</si>
  <si>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</si>
  <si>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</si>
  <si>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</si>
  <si>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</si>
  <si>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</si>
  <si>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</si>
  <si>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</si>
  <si>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</si>
  <si>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</si>
  <si>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</si>
  <si>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</si>
  <si>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</si>
  <si>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</si>
  <si>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</si>
  <si>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</si>
  <si>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</si>
  <si>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</si>
  <si>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</si>
  <si>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</si>
  <si>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</si>
  <si>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</si>
  <si>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</si>
  <si>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</si>
  <si>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</si>
  <si>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</si>
  <si>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</si>
  <si>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</si>
  <si>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</si>
  <si>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</si>
  <si>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</si>
  <si>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</si>
  <si>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</si>
  <si>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</si>
  <si>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</si>
  <si>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</si>
  <si>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</si>
  <si>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</si>
  <si>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</si>
  <si>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</si>
  <si>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</si>
  <si>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</si>
  <si>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</si>
  <si>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</si>
  <si>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</si>
  <si>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</si>
  <si>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</si>
  <si>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</si>
  <si>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</si>
  <si>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</si>
  <si>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</si>
  <si>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</si>
  <si>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</si>
  <si>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</si>
  <si>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</si>
  <si>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</si>
  <si>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</si>
  <si>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</si>
  <si>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</si>
  <si>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</si>
  <si>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</si>
  <si>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</si>
  <si>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</si>
  <si>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</si>
  <si>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</si>
  <si>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</si>
  <si>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</si>
  <si>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</si>
  <si>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</si>
  <si>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</si>
  <si>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</si>
  <si>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</si>
  <si>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</si>
  <si>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</si>
  <si>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</si>
  <si>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</si>
  <si>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</si>
  <si>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</si>
  <si>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</si>
  <si>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</si>
  <si>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</si>
  <si>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</si>
  <si>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</si>
  <si>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</si>
  <si>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</si>
  <si>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</si>
  <si>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</si>
  <si>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</si>
  <si>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</si>
  <si>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</si>
  <si>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</si>
  <si>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</si>
  <si>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</si>
  <si>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</si>
  <si>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</si>
  <si>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</si>
  <si>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</si>
  <si>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</si>
  <si>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</si>
  <si>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</si>
  <si>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</si>
  <si>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</si>
  <si>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</si>
  <si>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</si>
  <si>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</si>
  <si>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</si>
  <si>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</si>
  <si>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</si>
  <si>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</si>
  <si>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</si>
  <si>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</si>
  <si>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</si>
  <si>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</si>
  <si>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</si>
  <si>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</si>
  <si>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</si>
  <si>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</si>
  <si>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</si>
  <si>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</si>
  <si>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</si>
  <si>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</si>
  <si>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</si>
  <si>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</si>
  <si>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</si>
  <si>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</si>
  <si>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</si>
  <si>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</si>
  <si>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</si>
  <si>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</si>
  <si>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</si>
  <si>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</si>
  <si>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</si>
  <si>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</si>
  <si>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</si>
  <si>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</si>
  <si>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</si>
  <si>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</si>
  <si>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</si>
  <si>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</si>
  <si>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</si>
  <si>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</si>
  <si>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</si>
  <si>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</si>
  <si>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</si>
  <si>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</si>
  <si>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</si>
  <si>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</si>
  <si>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</si>
  <si>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</si>
  <si>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</si>
  <si>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</si>
  <si>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</si>
  <si>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</si>
  <si>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</si>
  <si>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</si>
  <si>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</si>
  <si>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</si>
  <si>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</si>
  <si>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</si>
  <si>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</si>
  <si>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</si>
  <si>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</si>
  <si>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</si>
  <si>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</si>
  <si>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</si>
  <si>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</si>
  <si>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</si>
  <si>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</si>
  <si>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</si>
  <si>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</si>
  <si>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</si>
  <si>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</si>
  <si>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</si>
  <si>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</si>
  <si>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</si>
  <si>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</si>
  <si>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</si>
  <si>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</si>
  <si>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</si>
  <si>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</si>
  <si>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</si>
  <si>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</si>
  <si>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</si>
  <si>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</si>
  <si>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</si>
  <si>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</si>
  <si>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</si>
  <si>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</si>
  <si>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</si>
  <si>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</si>
  <si>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</si>
  <si>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</si>
  <si>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</si>
  <si>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</si>
  <si>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</si>
  <si>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</si>
  <si>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</si>
  <si>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</si>
  <si>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</si>
  <si>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</si>
  <si>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</si>
  <si>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</si>
  <si>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</si>
  <si>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</si>
  <si>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</si>
  <si>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</si>
  <si>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</si>
  <si>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</si>
  <si>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</si>
  <si>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</si>
  <si>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</si>
  <si>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</si>
  <si>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</si>
  <si>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</si>
  <si>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</si>
  <si>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</si>
  <si>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</si>
  <si>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</si>
  <si>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</si>
  <si>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</si>
  <si>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</si>
  <si>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</si>
  <si>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</si>
  <si>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</si>
  <si>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</si>
  <si>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</si>
  <si>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</si>
  <si>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</si>
  <si>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</si>
  <si>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</si>
  <si>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</si>
  <si>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</si>
  <si>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</si>
  <si>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</si>
  <si>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</si>
  <si>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</si>
  <si>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</si>
  <si>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</si>
  <si>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</si>
  <si>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</si>
  <si>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</si>
  <si>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</si>
  <si>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</si>
  <si>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</si>
  <si>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</si>
  <si>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</si>
  <si>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</si>
  <si>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</si>
  <si>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</si>
  <si>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</si>
  <si>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</si>
  <si>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</si>
  <si>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</si>
  <si>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</si>
  <si>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</si>
  <si>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</si>
  <si>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</si>
  <si>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</si>
  <si>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</si>
  <si>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</si>
  <si>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</si>
  <si>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</si>
  <si>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</si>
  <si>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</si>
  <si>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</si>
  <si>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</si>
  <si>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</si>
  <si>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</si>
  <si>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</si>
  <si>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</si>
  <si>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</si>
  <si>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</si>
  <si>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</si>
  <si>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</si>
  <si>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</si>
  <si>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</si>
  <si>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</si>
  <si>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</si>
  <si>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</si>
  <si>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</si>
  <si>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</si>
  <si>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</si>
  <si>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</si>
  <si>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</si>
  <si>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</si>
  <si>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</si>
  <si>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</si>
  <si>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</si>
  <si>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</si>
  <si>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</si>
  <si>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</si>
  <si>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</si>
  <si>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</si>
  <si>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</si>
  <si>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</si>
  <si>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</si>
  <si>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</si>
  <si>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</si>
  <si>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</si>
  <si>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</si>
  <si>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</si>
  <si>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</si>
  <si>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</si>
  <si>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</si>
  <si>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</si>
  <si>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</si>
  <si>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</si>
  <si>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</si>
  <si>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</si>
  <si>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</si>
  <si>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</si>
  <si>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</si>
  <si>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</si>
  <si>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</si>
  <si>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</si>
  <si>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</si>
  <si>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</si>
  <si>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</si>
  <si>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</si>
  <si>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</si>
  <si>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</si>
  <si>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</si>
  <si>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</si>
  <si>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</si>
  <si>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</si>
  <si>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</si>
  <si>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</si>
  <si>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</si>
  <si>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</si>
  <si>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</si>
  <si>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</si>
  <si>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</si>
  <si>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</si>
  <si>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</si>
  <si>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</si>
  <si>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</si>
  <si>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</si>
  <si>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</si>
  <si>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</si>
  <si>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</si>
  <si>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</si>
  <si>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</si>
  <si>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</si>
  <si>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</si>
  <si>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</si>
  <si>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</si>
  <si>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</si>
  <si>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</si>
  <si>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</si>
  <si>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</si>
  <si>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</si>
  <si>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</si>
  <si>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</si>
  <si>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</si>
  <si>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</si>
  <si>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</si>
  <si>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</si>
  <si>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</si>
  <si>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</si>
  <si>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</si>
  <si>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</si>
  <si>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</si>
  <si>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</si>
  <si>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</si>
  <si>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</si>
  <si>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</si>
  <si>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</si>
  <si>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</si>
  <si>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</si>
  <si>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</si>
  <si>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</si>
  <si>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</si>
  <si>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</si>
  <si>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</si>
  <si>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</si>
  <si>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</si>
  <si>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</si>
  <si>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</si>
  <si>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</si>
  <si>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</si>
  <si>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</si>
  <si>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</si>
  <si>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</si>
  <si>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</si>
  <si>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</si>
  <si>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</si>
  <si>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</si>
  <si>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</si>
  <si>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</si>
  <si>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</si>
  <si>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</si>
  <si>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</si>
  <si>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</si>
  <si>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</si>
  <si>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</si>
  <si>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</si>
  <si>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</si>
  <si>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</si>
  <si>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</si>
  <si>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</si>
  <si>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</si>
  <si>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</si>
  <si>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</si>
  <si>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</si>
  <si>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</si>
  <si>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</si>
  <si>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</si>
  <si>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</si>
  <si>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</si>
  <si>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</si>
  <si>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</si>
  <si>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</si>
  <si>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</si>
  <si>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</si>
  <si>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</si>
  <si>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</si>
  <si>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</si>
  <si>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</si>
  <si>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</si>
  <si>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</si>
  <si>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</si>
  <si>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</si>
  <si>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</si>
  <si>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</si>
  <si>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</si>
  <si>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</si>
  <si>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</si>
  <si>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</si>
  <si>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</si>
  <si>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</si>
  <si>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</si>
  <si>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</si>
  <si>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</si>
  <si>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</si>
  <si>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</si>
  <si>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</si>
  <si>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</si>
  <si>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</si>
  <si>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</si>
  <si>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</si>
  <si>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</si>
  <si>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</si>
  <si>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</si>
  <si>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</si>
  <si>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</si>
  <si>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</si>
  <si>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</si>
  <si>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</si>
  <si>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</si>
  <si>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</si>
  <si>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</si>
  <si>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</si>
  <si>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</si>
  <si>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</si>
  <si>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</si>
  <si>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</si>
  <si>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</si>
  <si>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</si>
  <si>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</si>
  <si>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</si>
  <si>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</si>
  <si>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</si>
  <si>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</si>
  <si>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</si>
  <si>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</si>
  <si>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</si>
  <si>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</si>
  <si>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</si>
  <si>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</si>
  <si>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</si>
  <si>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</si>
  <si>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</si>
  <si>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</si>
  <si>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</si>
  <si>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</si>
  <si>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</si>
  <si>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</si>
  <si>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</si>
  <si>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</si>
  <si>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</si>
  <si>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</si>
  <si>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</si>
  <si>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</si>
  <si>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</si>
  <si>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</si>
  <si>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</si>
  <si>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</si>
  <si>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</si>
  <si>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</si>
  <si>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</si>
  <si>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</si>
  <si>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</si>
  <si>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</si>
  <si>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</si>
  <si>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</si>
  <si>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</si>
  <si>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</si>
  <si>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</si>
  <si>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</si>
  <si>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</si>
  <si>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</si>
  <si>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</si>
  <si>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</si>
  <si>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</si>
  <si>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</si>
  <si>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</si>
  <si>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</si>
  <si>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</si>
  <si>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</si>
  <si>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</si>
  <si>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</si>
  <si>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</si>
  <si>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</si>
  <si>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</si>
  <si>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</si>
  <si>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</si>
  <si>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</si>
  <si>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</si>
  <si>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</si>
  <si>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</si>
  <si>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</si>
  <si>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</si>
  <si>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</si>
  <si>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</si>
  <si>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</si>
  <si>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</si>
  <si>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</si>
  <si>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</si>
  <si>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</si>
  <si>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</si>
  <si>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</si>
  <si>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</si>
  <si>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</si>
  <si>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</si>
  <si>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</si>
  <si>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</si>
  <si>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</si>
  <si>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</si>
  <si>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</si>
  <si>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</si>
  <si>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</si>
  <si>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</si>
  <si>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</si>
  <si>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</si>
  <si>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</si>
  <si>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</si>
  <si>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</si>
  <si>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</si>
  <si>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</si>
  <si>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</si>
  <si>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</si>
  <si>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</si>
  <si>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</si>
  <si>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</si>
  <si>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</si>
  <si>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</si>
  <si>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</si>
  <si>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</si>
  <si>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</si>
  <si>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</si>
  <si>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</si>
  <si>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</si>
  <si>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</si>
  <si>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</si>
  <si>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</si>
  <si>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</si>
  <si>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</si>
  <si>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</si>
  <si>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</si>
  <si>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</si>
  <si>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</si>
  <si>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</si>
  <si>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</si>
  <si>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</si>
  <si>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</si>
  <si>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</si>
  <si>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</si>
  <si>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</si>
  <si>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</si>
  <si>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</si>
  <si>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</si>
  <si>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</si>
  <si>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</si>
  <si>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</si>
  <si>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</si>
  <si>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</si>
  <si>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</si>
  <si>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</si>
  <si>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</si>
  <si>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</si>
  <si>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</si>
  <si>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</si>
  <si>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</si>
  <si>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</si>
  <si>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</si>
  <si>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</si>
  <si>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</si>
  <si>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</si>
  <si>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</si>
  <si>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</si>
  <si>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</si>
  <si>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</si>
  <si>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</si>
  <si>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</si>
  <si>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</si>
  <si>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</si>
  <si>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</si>
  <si>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</si>
  <si>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</si>
  <si>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</si>
  <si>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</si>
  <si>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</si>
  <si>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</si>
  <si>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</si>
  <si>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</si>
  <si>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</si>
  <si>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</si>
  <si>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</si>
  <si>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</si>
  <si>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</si>
  <si>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</si>
  <si>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</si>
  <si>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</si>
  <si>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</si>
  <si>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</si>
  <si>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</si>
  <si>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</si>
  <si>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</si>
  <si>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</si>
  <si>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</si>
  <si>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</si>
  <si>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</si>
  <si>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</si>
  <si>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</si>
  <si>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</si>
  <si>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</si>
  <si>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</si>
  <si>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</si>
  <si>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</si>
  <si>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</si>
  <si>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</si>
  <si>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</si>
  <si>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</si>
  <si>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</si>
  <si>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</si>
  <si>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</si>
  <si>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</si>
  <si>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</si>
  <si>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</si>
  <si>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</si>
  <si>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</si>
  <si>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</si>
  <si>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</si>
  <si>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</si>
  <si>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</si>
  <si>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</si>
  <si>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</si>
  <si>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</si>
  <si>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</si>
  <si>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</si>
  <si>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</si>
  <si>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</si>
  <si>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</si>
  <si>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</si>
  <si>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</si>
  <si>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</si>
  <si>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</si>
  <si>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</si>
  <si>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</si>
  <si>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</si>
  <si>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</si>
  <si>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</si>
  <si>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</si>
  <si>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</si>
  <si>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</si>
  <si>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</si>
  <si>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</si>
  <si>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</si>
  <si>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</si>
  <si>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</si>
  <si>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</si>
  <si>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</si>
  <si>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</si>
  <si>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</si>
  <si>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</si>
  <si>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</si>
  <si>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</si>
  <si>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</si>
  <si>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</si>
  <si>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</si>
  <si>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</si>
  <si>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</si>
  <si>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</si>
  <si>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</si>
  <si>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</si>
  <si>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</si>
  <si>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</si>
  <si>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</si>
  <si>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</si>
  <si>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</si>
  <si>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</si>
  <si>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</si>
  <si>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</si>
  <si>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</si>
  <si>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</si>
  <si>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</si>
  <si>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</si>
  <si>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</si>
  <si>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</si>
  <si>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</si>
  <si>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</si>
  <si>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</si>
  <si>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</si>
  <si>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</si>
  <si>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</si>
  <si>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</si>
  <si>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</si>
  <si>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</si>
  <si>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</si>
  <si>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</si>
  <si>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</si>
  <si>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</si>
  <si>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</si>
  <si>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</si>
  <si>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</si>
  <si>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</si>
  <si>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</si>
  <si>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</si>
  <si>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</si>
  <si>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</si>
  <si>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</si>
  <si>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</si>
  <si>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</si>
  <si>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</si>
  <si>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</si>
  <si>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</si>
  <si>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</si>
  <si>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</si>
  <si>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</si>
  <si>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</si>
  <si>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</si>
  <si>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</si>
  <si>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</si>
  <si>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</si>
  <si>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</si>
  <si>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</si>
  <si>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</si>
  <si>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</si>
  <si>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</si>
  <si>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</si>
  <si>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</si>
  <si>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</si>
  <si>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</si>
  <si>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</si>
  <si>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</si>
  <si>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</si>
  <si>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</si>
  <si>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</si>
  <si>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</si>
  <si>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</si>
  <si>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</si>
  <si>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</si>
  <si>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</si>
  <si>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</si>
  <si>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</si>
  <si>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</si>
  <si>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</si>
  <si>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</si>
  <si>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</si>
  <si>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</si>
  <si>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</si>
  <si>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</si>
  <si>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</si>
  <si>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</si>
  <si>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</si>
  <si>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</si>
  <si>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</si>
  <si>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</si>
  <si>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</si>
  <si>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</si>
  <si>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</si>
  <si>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</si>
  <si>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</si>
  <si>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</si>
  <si>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</si>
  <si>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</si>
  <si>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</si>
  <si>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</si>
  <si>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</si>
  <si>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</si>
  <si>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</si>
  <si>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</si>
  <si>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</si>
  <si>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</si>
  <si>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</si>
  <si>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</si>
  <si>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</si>
  <si>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</si>
  <si>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</si>
  <si>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</si>
  <si>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</si>
  <si>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</si>
  <si>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</si>
  <si>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</si>
  <si>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</si>
  <si>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</si>
  <si>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</si>
  <si>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</si>
  <si>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</si>
  <si>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</si>
  <si>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</si>
  <si>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</si>
  <si>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</si>
  <si>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</si>
  <si>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</si>
  <si>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</si>
  <si>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</si>
  <si>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</si>
  <si>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</si>
  <si>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</si>
  <si>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</si>
  <si>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</si>
  <si>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</si>
  <si>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</si>
  <si>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</si>
  <si>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</si>
  <si>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</si>
  <si>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</si>
  <si>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</si>
  <si>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</si>
  <si>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</si>
  <si>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</si>
  <si>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</si>
  <si>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</si>
  <si>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</si>
  <si>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</si>
  <si>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</si>
  <si>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</si>
  <si>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</si>
  <si>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</si>
  <si>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</si>
  <si>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</si>
  <si>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</si>
  <si>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</si>
  <si>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</si>
  <si>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</si>
  <si>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</si>
  <si>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</si>
  <si>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</si>
  <si>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</si>
  <si>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</si>
  <si>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</si>
  <si>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</si>
  <si>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</si>
  <si>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</si>
  <si>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</si>
  <si>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</si>
  <si>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</si>
  <si>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</si>
  <si>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</si>
  <si>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</si>
  <si>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</si>
  <si>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</si>
  <si>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</si>
  <si>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</si>
  <si>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</si>
  <si>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</si>
  <si>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</si>
  <si>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</si>
  <si>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</si>
  <si>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</si>
  <si>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</si>
  <si>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</si>
  <si>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</si>
  <si>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</si>
  <si>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</si>
  <si>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</si>
  <si>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</si>
  <si>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</si>
  <si>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</si>
  <si>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</si>
  <si>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</si>
  <si>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</si>
  <si>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</si>
  <si>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</si>
  <si>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</si>
  <si>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</si>
  <si>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</si>
  <si>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</si>
  <si>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</si>
  <si>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</si>
  <si>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</si>
  <si>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</si>
  <si>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</si>
  <si>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</si>
  <si>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</si>
  <si>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</si>
  <si>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</si>
  <si>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</si>
  <si>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</si>
  <si>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</si>
  <si>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</si>
  <si>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</si>
  <si>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</si>
  <si>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</si>
  <si>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</si>
  <si>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</si>
  <si>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</si>
  <si>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</si>
  <si>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</si>
  <si>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</si>
  <si>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</si>
  <si>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</si>
  <si>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</si>
  <si>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</si>
  <si>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</si>
  <si>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</si>
  <si>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</si>
  <si>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</si>
  <si>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</si>
  <si>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</si>
  <si>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</si>
  <si>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</si>
  <si>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</si>
  <si>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</si>
  <si>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</si>
  <si>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</si>
  <si>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</si>
  <si>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</si>
  <si>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</si>
  <si>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</si>
  <si>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</si>
  <si>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</si>
  <si>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</si>
  <si>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</si>
  <si>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</si>
  <si>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</si>
  <si>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</si>
  <si>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</si>
  <si>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</si>
  <si>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</si>
  <si>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</si>
  <si>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</si>
  <si>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</si>
  <si>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</si>
  <si>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</si>
  <si>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</si>
  <si>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</si>
  <si>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</si>
  <si>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</si>
  <si>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</si>
  <si>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</si>
  <si>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</si>
  <si>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</si>
  <si>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</si>
  <si>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</si>
  <si>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</si>
  <si>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</si>
  <si>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</si>
  <si>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</si>
  <si>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</si>
  <si>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</si>
  <si>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</si>
  <si>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</si>
  <si>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</si>
  <si>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</si>
  <si>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</si>
  <si>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</si>
  <si>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</si>
  <si>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</si>
  <si>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</si>
  <si>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</si>
  <si>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</si>
  <si>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</si>
  <si>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</si>
  <si>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</si>
  <si>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</si>
  <si>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</si>
  <si>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</si>
  <si>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</si>
  <si>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</si>
  <si>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</si>
  <si>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</si>
  <si>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</si>
  <si>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</si>
  <si>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</si>
  <si>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</si>
  <si>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</si>
  <si>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</si>
  <si>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</si>
  <si>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</si>
  <si>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</si>
  <si>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</si>
  <si>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</si>
  <si>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</si>
  <si>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</si>
  <si>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</si>
  <si>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</si>
  <si>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</si>
  <si>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</si>
  <si>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</si>
  <si>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</si>
  <si>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</si>
  <si>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</si>
  <si>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</si>
  <si>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</si>
  <si>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</si>
  <si>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</si>
  <si>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</si>
  <si>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</si>
  <si>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</si>
  <si>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</si>
  <si>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</si>
  <si>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</si>
  <si>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</si>
  <si>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</si>
  <si>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</si>
  <si>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</si>
  <si>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</si>
  <si>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</si>
  <si>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</si>
  <si>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</si>
  <si>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</si>
  <si>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</si>
  <si>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</si>
  <si>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</si>
  <si>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</si>
  <si>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</si>
  <si>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</si>
  <si>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</si>
  <si>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</si>
  <si>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</si>
  <si>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</si>
  <si>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</si>
  <si>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</si>
  <si>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</si>
  <si>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</si>
  <si>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</si>
  <si>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</si>
  <si>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</si>
  <si>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</si>
  <si>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</si>
  <si>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</si>
  <si>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</si>
  <si>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</si>
  <si>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</si>
  <si>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</si>
  <si>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</si>
  <si>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</si>
  <si>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</si>
  <si>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</si>
  <si>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</si>
  <si>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</si>
  <si>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</si>
  <si>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</si>
  <si>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</si>
  <si>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</si>
  <si>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</si>
  <si>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</si>
  <si>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</si>
  <si>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</si>
  <si>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</si>
  <si>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</si>
  <si>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</si>
  <si>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</si>
  <si>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</si>
  <si>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</si>
  <si>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</si>
  <si>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</si>
  <si>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</si>
  <si>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</si>
  <si>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</si>
  <si>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</si>
  <si>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</si>
  <si>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</si>
  <si>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</si>
  <si>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</si>
  <si>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</si>
  <si>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</si>
  <si>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</si>
  <si>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</si>
  <si>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</si>
  <si>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</si>
  <si>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</si>
  <si>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</si>
  <si>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</si>
  <si>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</si>
  <si>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</si>
  <si>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</si>
  <si>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</si>
  <si>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</si>
  <si>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</si>
  <si>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</si>
  <si>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</si>
  <si>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</si>
  <si>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</si>
  <si>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</si>
  <si>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</si>
  <si>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</si>
  <si>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</si>
  <si>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</si>
  <si>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</si>
  <si>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</si>
  <si>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</si>
  <si>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</si>
  <si>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</si>
  <si>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</si>
  <si>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</si>
  <si>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</si>
  <si>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</si>
  <si>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</si>
  <si>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</si>
  <si>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</si>
  <si>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</si>
  <si>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</si>
  <si>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</si>
  <si>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</si>
  <si>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</si>
  <si>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</si>
  <si>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</si>
  <si>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</si>
  <si>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</si>
  <si>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</si>
  <si>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</si>
  <si>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</si>
  <si>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</si>
  <si>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</si>
  <si>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</si>
  <si>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</si>
  <si>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</si>
  <si>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</si>
  <si>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</si>
  <si>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</si>
  <si>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</si>
  <si>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</si>
  <si>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</si>
  <si>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</si>
  <si>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</si>
  <si>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</si>
  <si>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</si>
  <si>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</si>
  <si>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</si>
  <si>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</si>
  <si>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</si>
  <si>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</si>
  <si>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</si>
  <si>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</si>
  <si>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</si>
  <si>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</si>
  <si>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</si>
  <si>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</si>
  <si>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</si>
  <si>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</si>
  <si>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</si>
  <si>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</si>
  <si>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</si>
  <si>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</si>
  <si>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</si>
  <si>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</si>
  <si>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</si>
  <si>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</si>
  <si>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</si>
  <si>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</si>
  <si>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</si>
  <si>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</si>
  <si>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</si>
  <si>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</si>
  <si>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</si>
  <si>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</si>
  <si>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</si>
  <si>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</si>
  <si>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</si>
  <si>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</si>
  <si>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</si>
  <si>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</si>
  <si>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</si>
  <si>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</si>
  <si>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</si>
  <si>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</si>
  <si>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</si>
  <si>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</si>
  <si>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</si>
  <si>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</si>
  <si>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</si>
  <si>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</si>
  <si>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</si>
  <si>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</si>
  <si>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</si>
  <si>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</si>
  <si>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</si>
  <si>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</si>
  <si>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</si>
  <si>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</si>
  <si>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</si>
  <si>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</si>
  <si>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</si>
  <si>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</si>
  <si>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</si>
  <si>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</si>
  <si>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</si>
  <si>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</si>
  <si>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</si>
  <si>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</si>
  <si>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</si>
  <si>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</si>
  <si>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</si>
  <si>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</si>
  <si>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</si>
  <si>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</si>
  <si>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</si>
  <si>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</si>
  <si>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</si>
  <si>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</si>
  <si>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</si>
  <si>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</si>
  <si>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</si>
  <si>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</si>
  <si>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</si>
  <si>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</si>
  <si>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</si>
  <si>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</si>
  <si>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</si>
  <si>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</si>
  <si>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</si>
  <si>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</si>
  <si>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</si>
  <si>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</si>
  <si>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</si>
  <si>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</si>
  <si>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</si>
  <si>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</si>
  <si>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</si>
  <si>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</si>
  <si>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</si>
  <si>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</si>
  <si>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</si>
  <si>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</si>
  <si>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</si>
  <si>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</si>
  <si>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</si>
  <si>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</si>
  <si>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</si>
  <si>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</si>
  <si>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</si>
  <si>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</si>
  <si>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</si>
  <si>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</si>
  <si>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</si>
  <si>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</si>
  <si>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</si>
  <si>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</si>
  <si>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</si>
  <si>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</si>
  <si>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</si>
  <si>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</si>
  <si>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</si>
  <si>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</si>
  <si>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</si>
  <si>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</si>
  <si>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</si>
  <si>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</si>
  <si>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</si>
  <si>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</si>
  <si>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</si>
  <si>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</si>
  <si>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</si>
  <si>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</si>
  <si>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</si>
  <si>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</si>
  <si>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</si>
  <si>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</si>
  <si>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</si>
  <si>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</si>
  <si>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</si>
  <si>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</si>
  <si>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</si>
  <si>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</si>
  <si>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</si>
  <si>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</si>
  <si>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</si>
  <si>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</si>
  <si>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</si>
  <si>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</si>
  <si>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</si>
  <si>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</si>
  <si>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</si>
  <si>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</si>
  <si>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</si>
  <si>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</si>
  <si>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</si>
  <si>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</si>
  <si>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</si>
  <si>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</si>
  <si>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</si>
  <si>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</si>
  <si>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</si>
  <si>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</si>
  <si>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</si>
  <si>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</si>
  <si>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</si>
  <si>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</si>
  <si>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</si>
  <si>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</si>
  <si>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</si>
  <si>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</si>
  <si>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</si>
  <si>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</si>
  <si>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</si>
  <si>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</si>
  <si>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</si>
  <si>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</si>
  <si>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</si>
  <si>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</si>
  <si>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</si>
  <si>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</si>
  <si>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</si>
  <si>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</si>
  <si>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</si>
  <si>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</si>
  <si>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</si>
  <si>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</si>
  <si>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</si>
  <si>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</si>
  <si>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</si>
  <si>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</si>
  <si>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</si>
  <si>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</si>
  <si>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</si>
  <si>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</si>
  <si>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</si>
  <si>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</si>
  <si>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</si>
  <si>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</si>
  <si>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</si>
  <si>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</si>
  <si>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</si>
  <si>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</si>
  <si>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</si>
  <si>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</si>
  <si>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</si>
  <si>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</si>
  <si>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</si>
  <si>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</si>
  <si>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</si>
  <si>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</si>
  <si>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</si>
  <si>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</si>
  <si>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</si>
  <si>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</si>
  <si>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</si>
  <si>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</si>
  <si>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</si>
  <si>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</si>
  <si>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</si>
  <si>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</si>
  <si>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</si>
  <si>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</si>
  <si>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</si>
  <si>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</si>
  <si>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</si>
  <si>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</si>
  <si>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</si>
  <si>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</si>
  <si>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</si>
  <si>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</si>
  <si>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</si>
  <si>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</si>
  <si>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</si>
  <si>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</si>
  <si>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</si>
  <si>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</si>
  <si>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</si>
  <si>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</si>
  <si>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</si>
  <si>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</si>
  <si>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</si>
  <si>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</si>
  <si>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</si>
  <si>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</si>
  <si>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</si>
  <si>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</si>
  <si>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</si>
  <si>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</si>
  <si>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</si>
  <si>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</si>
  <si>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</si>
  <si>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</si>
  <si>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</si>
  <si>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</si>
  <si>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</si>
  <si>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</si>
  <si>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</si>
  <si>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</si>
  <si>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</si>
  <si>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</si>
  <si>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</si>
  <si>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</si>
  <si>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</si>
  <si>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</si>
  <si>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</si>
  <si>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</si>
  <si>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</si>
  <si>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</si>
  <si>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</si>
  <si>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</si>
  <si>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</si>
  <si>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</si>
  <si>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</si>
  <si>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</si>
  <si>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</si>
  <si>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</si>
  <si>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</si>
  <si>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</si>
  <si>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</si>
  <si>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</si>
  <si>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</si>
  <si>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</si>
  <si>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</si>
  <si>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</si>
  <si>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</si>
  <si>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</si>
  <si>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</si>
  <si>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</si>
  <si>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</si>
  <si>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</si>
  <si>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</si>
  <si>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</si>
  <si>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</si>
  <si>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</si>
  <si>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</si>
  <si>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</si>
  <si>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</si>
  <si>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</si>
  <si>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</si>
  <si>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</si>
  <si>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</si>
  <si>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</si>
  <si>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</si>
  <si>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</si>
  <si>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</si>
  <si>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</si>
  <si>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</si>
  <si>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</si>
  <si>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</si>
  <si>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</si>
  <si>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</si>
  <si>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</si>
  <si>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</si>
  <si>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</si>
  <si>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</si>
  <si>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</si>
  <si>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</si>
  <si>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</si>
  <si>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</si>
  <si>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</si>
  <si>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</si>
  <si>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</si>
  <si>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</si>
  <si>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</si>
  <si>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</si>
  <si>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</si>
  <si>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</si>
  <si>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</si>
  <si>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</si>
  <si>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</si>
  <si>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</si>
  <si>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</si>
  <si>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</si>
  <si>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</si>
  <si>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</si>
  <si>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</si>
  <si>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</si>
  <si>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</si>
  <si>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</si>
  <si>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</si>
  <si>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</si>
  <si>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</si>
  <si>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</si>
  <si>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</si>
  <si>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</si>
  <si>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</si>
  <si>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</si>
  <si>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</si>
  <si>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</si>
  <si>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</si>
  <si>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</si>
  <si>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</si>
  <si>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</si>
  <si>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</si>
  <si>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</si>
  <si>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</si>
  <si>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</si>
  <si>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</si>
  <si>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</si>
  <si>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</si>
  <si>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</si>
  <si>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</si>
  <si>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</si>
  <si>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</si>
  <si>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</si>
  <si>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</si>
  <si>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</si>
  <si>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</si>
  <si>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</si>
  <si>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</si>
  <si>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</si>
  <si>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</si>
  <si>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</si>
  <si>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</si>
  <si>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</si>
  <si>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</si>
  <si>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</si>
  <si>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</si>
  <si>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</si>
  <si>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</si>
  <si>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</si>
  <si>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</si>
  <si>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</si>
  <si>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</si>
  <si>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</si>
  <si>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</si>
  <si>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</si>
  <si>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</si>
  <si>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</si>
  <si>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</si>
  <si>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</si>
  <si>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</si>
  <si>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</si>
  <si>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</si>
  <si>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</si>
  <si>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</si>
  <si>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</si>
  <si>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</si>
  <si>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</si>
  <si>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</si>
  <si>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</si>
  <si>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</si>
  <si>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</si>
  <si>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</si>
  <si>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</si>
  <si>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</si>
  <si>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</si>
  <si>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</si>
  <si>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</si>
  <si>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</si>
  <si>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</si>
  <si>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</si>
  <si>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</si>
  <si>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</si>
  <si>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</si>
  <si>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</si>
  <si>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</si>
  <si>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</si>
  <si>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</si>
  <si>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</si>
  <si>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</si>
  <si>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</si>
  <si>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</si>
  <si>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</si>
  <si>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</si>
  <si>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</si>
  <si>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</si>
  <si>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</si>
  <si>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</si>
  <si>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</si>
  <si>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</si>
  <si>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</si>
  <si>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</si>
  <si>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</si>
  <si>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</si>
  <si>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</si>
  <si>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</si>
  <si>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</si>
  <si>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</si>
  <si>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</si>
  <si>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</si>
  <si>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</si>
  <si>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</si>
  <si>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</si>
  <si>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</si>
  <si>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</si>
  <si>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</si>
  <si>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</si>
  <si>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</si>
  <si>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</si>
  <si>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</si>
  <si>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</si>
  <si>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</si>
  <si>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</si>
  <si>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</si>
  <si>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</si>
  <si>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</si>
  <si>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</si>
  <si>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</si>
  <si>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</si>
  <si>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</si>
  <si>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</si>
  <si>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</si>
  <si>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</si>
  <si>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</si>
  <si>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</si>
  <si>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</si>
  <si>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</si>
  <si>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</si>
  <si>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</si>
  <si>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</si>
  <si>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</si>
  <si>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</si>
  <si>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</si>
  <si>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</si>
  <si>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</si>
  <si>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</si>
  <si>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</si>
  <si>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</si>
  <si>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</si>
  <si>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</si>
  <si>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</si>
  <si>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</si>
  <si>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</si>
  <si>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</si>
  <si>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</si>
  <si>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</si>
  <si>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</si>
  <si>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</si>
  <si>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</si>
  <si>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</si>
  <si>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</si>
  <si>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</si>
  <si>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</si>
  <si>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</si>
  <si>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</si>
  <si>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</si>
  <si>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</si>
  <si>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</si>
  <si>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</si>
  <si>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</si>
  <si>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</si>
  <si>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</si>
  <si>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</si>
  <si>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</si>
  <si>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</si>
  <si>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</si>
  <si>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</si>
  <si>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</si>
  <si>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</si>
  <si>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</si>
  <si>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</si>
  <si>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</si>
  <si>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</si>
  <si>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</si>
  <si>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</si>
  <si>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</si>
  <si>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</si>
  <si>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</si>
  <si>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</si>
  <si>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</si>
  <si>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</si>
  <si>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</si>
  <si>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</si>
  <si>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</si>
  <si>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</si>
  <si>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</si>
  <si>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</si>
  <si>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</si>
  <si>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</si>
  <si>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</si>
  <si>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</si>
  <si>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</si>
  <si>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</si>
  <si>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</si>
  <si>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</si>
  <si>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</si>
  <si>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</si>
  <si>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</si>
  <si>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</si>
  <si>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</si>
  <si>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</si>
  <si>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</si>
  <si>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</si>
  <si>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</si>
  <si>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</si>
  <si>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</si>
  <si>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</si>
  <si>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</si>
  <si>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</si>
  <si>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</si>
  <si>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</si>
  <si>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</si>
  <si>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</si>
  <si>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</si>
  <si>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</si>
  <si>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</si>
  <si>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</si>
  <si>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</si>
  <si>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</si>
  <si>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</si>
  <si>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</si>
  <si>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</si>
  <si>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</si>
  <si>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</si>
  <si>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</si>
  <si>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</si>
  <si>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</si>
  <si>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</si>
  <si>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</si>
  <si>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</si>
  <si>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</si>
  <si>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</si>
  <si>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</si>
  <si>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</si>
  <si>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</si>
  <si>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</si>
  <si>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</si>
  <si>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</si>
  <si>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</si>
  <si>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</si>
  <si>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</si>
  <si>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</si>
  <si>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</si>
  <si>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</si>
  <si>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</si>
  <si>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</si>
  <si>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</si>
  <si>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</si>
  <si>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</si>
  <si>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</si>
  <si>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</si>
  <si>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</si>
  <si>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</si>
  <si>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</si>
  <si>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</si>
  <si>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</si>
  <si>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</si>
  <si>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</si>
  <si>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</si>
  <si>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</si>
  <si>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</si>
  <si>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</si>
  <si>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</si>
  <si>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</si>
  <si>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</si>
  <si>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</si>
  <si>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</si>
  <si>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</si>
  <si>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</si>
  <si>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</si>
  <si>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</si>
  <si>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</si>
  <si>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</si>
  <si>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</si>
  <si>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</si>
  <si>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</si>
  <si>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</si>
  <si>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</si>
  <si>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</si>
  <si>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</si>
  <si>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</si>
  <si>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</si>
  <si>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</si>
  <si>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</si>
  <si>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</si>
  <si>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</si>
  <si>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</si>
  <si>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</si>
  <si>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</si>
  <si>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</si>
  <si>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</si>
  <si>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</si>
  <si>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</si>
  <si>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</si>
  <si>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</si>
  <si>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</si>
  <si>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</si>
  <si>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</si>
  <si>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</si>
  <si>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</si>
  <si>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</si>
  <si>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</si>
  <si>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</si>
  <si>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</si>
  <si>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</si>
  <si>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</si>
  <si>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</si>
  <si>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</si>
  <si>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</si>
  <si>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</si>
  <si>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</si>
  <si>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</si>
  <si>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</si>
  <si>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</si>
  <si>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</si>
  <si>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</si>
  <si>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</si>
  <si>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</si>
  <si>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</si>
  <si>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</si>
  <si>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</si>
  <si>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</si>
  <si>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</si>
  <si>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</si>
  <si>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</si>
  <si>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</si>
  <si>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</si>
  <si>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</si>
  <si>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</si>
  <si>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</si>
  <si>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</si>
  <si>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</si>
  <si>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</si>
  <si>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</si>
  <si>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</si>
  <si>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</si>
  <si>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</si>
  <si>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</si>
  <si>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</si>
  <si>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</si>
  <si>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</si>
  <si>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</si>
  <si>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</si>
  <si>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</si>
  <si>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</si>
  <si>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</si>
  <si>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</si>
  <si>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</si>
  <si>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</si>
  <si>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</si>
  <si>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</si>
  <si>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</si>
  <si>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</si>
  <si>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</si>
  <si>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</si>
  <si>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</si>
  <si>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</si>
  <si>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</si>
  <si>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</si>
  <si>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</si>
  <si>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</si>
  <si>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</si>
  <si>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</si>
  <si>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</si>
  <si>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</si>
  <si>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</si>
  <si>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</si>
  <si>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</si>
  <si>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</si>
  <si>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</si>
  <si>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</si>
  <si>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</si>
  <si>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</si>
  <si>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</si>
  <si>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</si>
  <si>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</si>
  <si>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</si>
  <si>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</si>
  <si>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</si>
  <si>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</si>
  <si>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</si>
  <si>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</si>
  <si>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</si>
  <si>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</si>
  <si>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</si>
  <si>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</si>
  <si>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</si>
  <si>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</si>
  <si>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</si>
  <si>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</si>
  <si>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</si>
  <si>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</si>
  <si>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</si>
  <si>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</si>
  <si>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</si>
  <si>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</si>
  <si>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</si>
  <si>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</si>
  <si>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</si>
  <si>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</si>
  <si>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</si>
  <si>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</si>
  <si>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</si>
  <si>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</si>
  <si>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</si>
  <si>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</si>
  <si>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</si>
  <si>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</si>
  <si>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</si>
  <si>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</si>
  <si>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</si>
  <si>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</si>
  <si>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</si>
  <si>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</si>
  <si>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</si>
  <si>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</si>
  <si>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</si>
  <si>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</si>
  <si>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</si>
  <si>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</si>
  <si>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</si>
  <si>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</si>
  <si>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</si>
  <si>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</si>
  <si>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</si>
  <si>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</si>
  <si>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</si>
  <si>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</si>
  <si>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</si>
  <si>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</si>
  <si>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</si>
  <si>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</si>
  <si>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</si>
  <si>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</si>
  <si>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</si>
  <si>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</si>
  <si>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</si>
  <si>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</si>
  <si>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</si>
  <si>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</si>
  <si>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</si>
  <si>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</si>
  <si>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</si>
  <si>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</si>
  <si>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</si>
  <si>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</si>
  <si>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</si>
  <si>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</si>
  <si>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</si>
  <si>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</si>
  <si>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</si>
  <si>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</si>
  <si>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</si>
  <si>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</si>
  <si>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</si>
  <si>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</si>
  <si>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</si>
  <si>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</si>
  <si>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</si>
  <si>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</si>
  <si>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</si>
  <si>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</si>
  <si>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</si>
  <si>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</si>
  <si>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</si>
  <si>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</si>
  <si>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</si>
  <si>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</si>
  <si>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</si>
  <si>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</si>
  <si>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</si>
  <si>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</si>
  <si>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</si>
  <si>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</si>
  <si>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</si>
  <si>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</si>
  <si>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</si>
  <si>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</si>
  <si>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</si>
  <si>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</si>
  <si>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</si>
  <si>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</si>
  <si>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</si>
  <si>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</si>
  <si>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</si>
  <si>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</si>
  <si>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</si>
  <si>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</si>
  <si>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</si>
  <si>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</si>
  <si>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</si>
  <si>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</si>
  <si>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</si>
  <si>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</si>
  <si>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</si>
  <si>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</si>
  <si>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</si>
  <si>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</si>
  <si>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</si>
  <si>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</si>
  <si>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</si>
  <si>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</si>
  <si>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</si>
  <si>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</si>
  <si>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</si>
  <si>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</si>
  <si>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</si>
  <si>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</si>
  <si>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</si>
  <si>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</si>
  <si>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</si>
  <si>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</si>
  <si>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</si>
  <si>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</si>
  <si>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</si>
  <si>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</si>
  <si>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</si>
  <si>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</si>
  <si>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</si>
  <si>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</si>
  <si>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</si>
  <si>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</si>
  <si>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</si>
  <si>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</si>
  <si>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</si>
  <si>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</si>
  <si>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</si>
  <si>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</si>
  <si>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</si>
  <si>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</si>
  <si>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</si>
  <si>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</si>
  <si>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</si>
  <si>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</si>
  <si>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</si>
  <si>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</si>
  <si>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</si>
  <si>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</si>
  <si>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</si>
  <si>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</si>
  <si>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</si>
  <si>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</si>
  <si>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</si>
  <si>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</si>
  <si>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</si>
  <si>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</si>
  <si>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</si>
  <si>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</si>
  <si>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</si>
  <si>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</si>
  <si>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</si>
  <si>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</si>
  <si>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</si>
  <si>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</si>
  <si>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</si>
  <si>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</si>
  <si>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</si>
  <si>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</si>
  <si>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</si>
  <si>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</si>
  <si>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</si>
  <si>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</si>
  <si>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</si>
  <si>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</si>
  <si>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</si>
  <si>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</si>
  <si>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</si>
  <si>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</si>
  <si>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</si>
  <si>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</si>
  <si>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</si>
  <si>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</si>
  <si>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</si>
  <si>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</si>
  <si>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</si>
  <si>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</si>
  <si>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</si>
  <si>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</si>
  <si>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</si>
  <si>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</si>
  <si>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</si>
  <si>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</si>
  <si>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</si>
  <si>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</si>
  <si>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</si>
  <si>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</si>
  <si>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</si>
  <si>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</si>
  <si>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</si>
  <si>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</si>
  <si>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</si>
  <si>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</si>
  <si>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</si>
  <si>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</si>
  <si>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</si>
  <si>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</si>
  <si>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</si>
  <si>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</si>
  <si>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</si>
  <si>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</si>
  <si>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</si>
  <si>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</si>
  <si>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</si>
  <si>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</si>
  <si>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</si>
  <si>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</si>
  <si>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</si>
  <si>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</si>
  <si>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</si>
  <si>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</si>
  <si>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</si>
  <si>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</si>
  <si>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</si>
  <si>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</si>
  <si>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</si>
  <si>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</si>
  <si>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</si>
  <si>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</si>
  <si>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</si>
  <si>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</si>
  <si>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</si>
  <si>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</si>
  <si>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</si>
  <si>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</si>
  <si>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</si>
  <si>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</si>
  <si>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</si>
  <si>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</si>
  <si>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</si>
  <si>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</si>
  <si>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</si>
  <si>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</si>
  <si>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</si>
  <si>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</si>
  <si>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</si>
  <si>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</si>
  <si>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</si>
  <si>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</si>
  <si>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</si>
  <si>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</si>
  <si>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</si>
  <si>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</si>
  <si>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</si>
  <si>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</si>
  <si>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</si>
  <si>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</si>
  <si>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</si>
  <si>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</si>
  <si>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</si>
  <si>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</si>
  <si>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</si>
  <si>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</si>
  <si>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</si>
  <si>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</si>
  <si>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</si>
  <si>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</si>
  <si>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</si>
  <si>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</si>
  <si>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</si>
  <si>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</si>
  <si>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</si>
  <si>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</si>
  <si>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</si>
  <si>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</si>
  <si>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</si>
  <si>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</si>
  <si>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</si>
  <si>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</si>
  <si>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</si>
  <si>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</si>
  <si>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</si>
  <si>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</si>
  <si>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</si>
  <si>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</si>
  <si>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</si>
  <si>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</si>
  <si>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</si>
  <si>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</si>
  <si>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</si>
  <si>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</si>
  <si>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</si>
  <si>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</si>
  <si>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</si>
  <si>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</si>
  <si>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</si>
  <si>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</si>
  <si>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</si>
  <si>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</si>
  <si>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</si>
  <si>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</si>
  <si>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</si>
  <si>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</si>
  <si>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</si>
  <si>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</si>
  <si>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</si>
  <si>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</si>
  <si>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</si>
  <si>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</si>
  <si>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</si>
  <si>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</si>
  <si>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</si>
  <si>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</si>
  <si>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</si>
  <si>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</si>
  <si>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</si>
  <si>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</si>
  <si>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</si>
  <si>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</si>
  <si>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</si>
  <si>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</si>
  <si>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</si>
  <si>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</si>
  <si>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</si>
  <si>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</si>
  <si>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</si>
  <si>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</si>
  <si>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</si>
  <si>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</si>
  <si>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</si>
  <si>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</si>
  <si>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</si>
  <si>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</si>
  <si>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</si>
  <si>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</si>
  <si>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</si>
  <si>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</si>
  <si>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</si>
  <si>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</si>
  <si>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</si>
  <si>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</si>
  <si>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</si>
  <si>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</si>
  <si>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</si>
  <si>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</si>
  <si>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</si>
  <si>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</si>
  <si>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</si>
  <si>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</si>
  <si>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</si>
  <si>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</si>
  <si>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</si>
  <si>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</si>
  <si>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</si>
  <si>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</si>
  <si>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</si>
  <si>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</si>
  <si>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</si>
  <si>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</si>
  <si>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</si>
  <si>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</si>
  <si>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</si>
  <si>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</si>
  <si>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</si>
  <si>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</si>
  <si>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</si>
  <si>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</si>
  <si>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</si>
  <si>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</si>
  <si>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</si>
  <si>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</si>
  <si>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</si>
  <si>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</si>
  <si>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</si>
  <si>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</si>
  <si>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</si>
  <si>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</si>
  <si>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</si>
  <si>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</si>
  <si>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</si>
  <si>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</si>
  <si>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</si>
  <si>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</si>
  <si>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</si>
  <si>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</si>
  <si>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</si>
  <si>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</si>
  <si>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</si>
  <si>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</si>
  <si>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</si>
  <si>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</si>
  <si>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</si>
  <si>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</si>
  <si>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</si>
  <si>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</si>
  <si>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</si>
  <si>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</si>
  <si>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</si>
  <si>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</si>
  <si>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</si>
  <si>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</si>
  <si>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</si>
  <si>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</si>
  <si>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</si>
  <si>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</si>
  <si>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</si>
  <si>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</si>
  <si>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</si>
  <si>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</si>
  <si>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</si>
  <si>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</si>
  <si>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</si>
  <si>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</si>
  <si>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</si>
  <si>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</si>
  <si>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</si>
  <si>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</si>
  <si>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</si>
  <si>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</si>
  <si>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</si>
  <si>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</si>
  <si>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</si>
  <si>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</si>
  <si>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</si>
  <si>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</si>
  <si>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</si>
  <si>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</si>
  <si>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</si>
  <si>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</si>
  <si>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</si>
  <si>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</si>
  <si>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</si>
  <si>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</si>
  <si>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</si>
  <si>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</si>
  <si>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</si>
  <si>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</si>
  <si>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</si>
  <si>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</si>
  <si>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</si>
  <si>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</si>
  <si>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</si>
  <si>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</si>
  <si>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</si>
  <si>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</si>
  <si>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</si>
  <si>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</si>
  <si>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</si>
  <si>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</si>
  <si>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</si>
  <si>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</si>
  <si>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</si>
  <si>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</si>
  <si>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</si>
  <si>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</si>
  <si>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</si>
  <si>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</si>
  <si>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</si>
  <si>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</si>
  <si>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</si>
  <si>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</si>
  <si>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</si>
  <si>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</si>
  <si>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</si>
  <si>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</si>
  <si>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</si>
  <si>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</si>
  <si>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</si>
  <si>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</si>
  <si>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</si>
  <si>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</si>
  <si>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</si>
  <si>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</si>
  <si>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</si>
  <si>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</si>
  <si>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</si>
  <si>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</si>
  <si>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</si>
  <si>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</si>
  <si>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</si>
  <si>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</si>
  <si>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</si>
  <si>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</si>
  <si>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</si>
  <si>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</si>
  <si>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</si>
  <si>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</si>
  <si>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</si>
  <si>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</si>
  <si>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</si>
  <si>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</si>
  <si>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</si>
  <si>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</si>
  <si>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</si>
  <si>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</si>
  <si>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</si>
  <si>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</si>
  <si>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</si>
  <si>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</si>
  <si>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</si>
  <si>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</si>
  <si>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</si>
  <si>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</si>
  <si>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</si>
  <si>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</si>
  <si>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</si>
  <si>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</si>
  <si>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</si>
  <si>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</si>
  <si>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</si>
  <si>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</si>
  <si>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</si>
  <si>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</si>
  <si>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</si>
  <si>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</si>
  <si>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</si>
  <si>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</si>
  <si>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</si>
  <si>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</si>
  <si>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</si>
  <si>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</si>
  <si>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</si>
  <si>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</si>
  <si>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</si>
  <si>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</si>
  <si>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</si>
  <si>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</si>
  <si>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</si>
  <si>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</si>
  <si>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</si>
  <si>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</si>
  <si>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</si>
  <si>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</si>
  <si>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</si>
  <si>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</si>
  <si>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</si>
  <si>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</si>
  <si>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</si>
  <si>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</si>
  <si>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</si>
  <si>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</si>
  <si>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</si>
  <si>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</si>
  <si>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</si>
  <si>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</si>
  <si>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</si>
  <si>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</si>
  <si>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</si>
  <si>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</si>
  <si>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</si>
  <si>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</si>
  <si>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</si>
  <si>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</si>
  <si>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</si>
  <si>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</si>
  <si>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</si>
  <si>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</si>
  <si>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</si>
  <si>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</si>
  <si>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</si>
  <si>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</si>
  <si>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</si>
  <si>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</si>
  <si>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</si>
  <si>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</si>
  <si>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</si>
  <si>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</si>
  <si>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</si>
  <si>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</si>
  <si>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</si>
  <si>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</si>
  <si>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</si>
  <si>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</si>
  <si>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</si>
  <si>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</si>
  <si>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</si>
  <si>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</si>
  <si>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</si>
  <si>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</si>
  <si>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</si>
  <si>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</si>
  <si>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</si>
  <si>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</si>
  <si>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</si>
  <si>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</si>
  <si>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</si>
  <si>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</si>
  <si>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</si>
  <si>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</si>
  <si>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</si>
  <si>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</si>
  <si>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</si>
  <si>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</si>
  <si>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</si>
  <si>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</si>
  <si>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</si>
  <si>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</si>
  <si>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</si>
  <si>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</si>
  <si>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</si>
  <si>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</si>
  <si>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</si>
  <si>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</si>
  <si>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</si>
  <si>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</si>
  <si>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</si>
  <si>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</si>
  <si>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</si>
  <si>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</si>
  <si>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</si>
  <si>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</si>
  <si>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</si>
  <si>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</si>
  <si>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</si>
  <si>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</si>
  <si>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</si>
  <si>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</si>
  <si>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</si>
  <si>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</si>
  <si>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</si>
  <si>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</si>
  <si>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</si>
  <si>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</si>
  <si>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</si>
  <si>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</si>
  <si>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</si>
  <si>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</si>
  <si>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</si>
  <si>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</si>
  <si>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</si>
  <si>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</si>
  <si>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</si>
  <si>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</si>
  <si>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</si>
  <si>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</si>
  <si>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</si>
  <si>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</si>
  <si>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</si>
  <si>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</si>
  <si>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</si>
  <si>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</si>
  <si>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</si>
  <si>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</si>
  <si>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</si>
  <si>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</si>
  <si>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</si>
  <si>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</si>
  <si>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</si>
  <si>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</si>
  <si>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</si>
  <si>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</si>
  <si>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</si>
  <si>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</si>
  <si>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</si>
  <si>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</si>
  <si>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</si>
  <si>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</si>
  <si>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</si>
  <si>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</si>
  <si>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</si>
  <si>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</si>
  <si>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</si>
  <si>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</si>
  <si>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</si>
  <si>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</si>
  <si>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</si>
  <si>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</si>
  <si>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</si>
  <si>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</si>
  <si>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</si>
  <si>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</si>
  <si>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</si>
  <si>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</si>
  <si>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</si>
  <si>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</si>
  <si>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</si>
  <si>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</si>
  <si>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</si>
  <si>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</si>
  <si>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</si>
  <si>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</si>
  <si>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</si>
  <si>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</si>
  <si>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</si>
  <si>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</si>
  <si>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</si>
  <si>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</si>
  <si>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</si>
  <si>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</si>
  <si>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</si>
  <si>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</si>
  <si>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</si>
  <si>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</si>
  <si>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</si>
  <si>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</si>
  <si>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</si>
  <si>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</si>
  <si>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</si>
  <si>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</si>
  <si>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</si>
  <si>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</si>
  <si>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</si>
  <si>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</si>
  <si>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</si>
  <si>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</si>
  <si>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</si>
  <si>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</si>
  <si>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</si>
  <si>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</si>
  <si>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</si>
  <si>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</si>
  <si>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</si>
  <si>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</si>
  <si>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</si>
  <si>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</si>
  <si>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</si>
  <si>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</si>
  <si>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</si>
  <si>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</si>
  <si>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</si>
  <si>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</si>
  <si>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</si>
  <si>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</si>
  <si>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</si>
  <si>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</si>
  <si>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</si>
  <si>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</si>
  <si>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</si>
  <si>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</si>
  <si>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</si>
  <si>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</si>
  <si>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</si>
  <si>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</si>
  <si>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</si>
  <si>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</si>
  <si>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</si>
  <si>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</si>
  <si>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</si>
  <si>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</si>
  <si>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</si>
  <si>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</si>
  <si>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</si>
  <si>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</si>
  <si>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</si>
  <si>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</si>
  <si>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</si>
  <si>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</si>
  <si>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</si>
  <si>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</si>
  <si>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</si>
  <si>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</si>
  <si>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</si>
  <si>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</si>
  <si>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</si>
  <si>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</si>
  <si>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</si>
  <si>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</si>
  <si>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</si>
  <si>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</si>
  <si>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</si>
  <si>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</si>
  <si>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</si>
  <si>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</si>
  <si>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</si>
  <si>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</si>
  <si>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</si>
  <si>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</si>
  <si>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</si>
  <si>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</si>
  <si>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</si>
  <si>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</si>
  <si>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</si>
  <si>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</si>
  <si>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</si>
  <si>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</si>
  <si>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</si>
  <si>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</si>
  <si>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</si>
  <si>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</si>
  <si>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</si>
  <si>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</si>
  <si>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</si>
  <si>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</si>
  <si>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</si>
  <si>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</si>
  <si>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</si>
  <si>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</si>
  <si>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</si>
  <si>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</si>
  <si>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</si>
  <si>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</si>
  <si>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</si>
  <si>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</si>
  <si>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</si>
  <si>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</si>
  <si>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</si>
  <si>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</si>
  <si>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</si>
  <si>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</si>
  <si>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</si>
  <si>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</si>
  <si>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</si>
  <si>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</si>
  <si>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</si>
  <si>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</si>
  <si>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</si>
  <si>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</si>
  <si>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</si>
  <si>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</si>
  <si>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</si>
  <si>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</si>
  <si>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</si>
  <si>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</si>
  <si>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</si>
  <si>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</si>
  <si>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</si>
  <si>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</si>
  <si>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</si>
  <si>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</si>
  <si>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</si>
  <si>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</si>
  <si>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</si>
  <si>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</si>
  <si>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</si>
  <si>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</si>
  <si>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</si>
  <si>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</si>
  <si>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</si>
  <si>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</si>
  <si>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</si>
  <si>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</si>
  <si>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</si>
  <si>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</si>
  <si>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</si>
  <si>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</si>
  <si>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</si>
  <si>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</si>
  <si>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</si>
  <si>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</si>
  <si>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</si>
  <si>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</si>
  <si>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</si>
  <si>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</si>
  <si>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</si>
  <si>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</si>
  <si>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</si>
  <si>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</si>
  <si>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</si>
  <si>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</si>
  <si>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</si>
  <si>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</si>
  <si>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</si>
  <si>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</si>
  <si>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</si>
  <si>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</si>
  <si>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</si>
  <si>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</si>
  <si>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</si>
  <si>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</si>
  <si>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</si>
  <si>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</si>
  <si>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</si>
  <si>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</si>
  <si>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</si>
  <si>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</si>
  <si>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</si>
  <si>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</si>
  <si>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</si>
  <si>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</si>
  <si>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</si>
  <si>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</si>
  <si>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</si>
  <si>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</si>
  <si>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</si>
  <si>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</si>
  <si>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</si>
  <si>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</si>
  <si>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</si>
  <si>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</si>
  <si>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</si>
  <si>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</si>
  <si>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</si>
  <si>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</si>
  <si>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</si>
  <si>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</si>
  <si>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</si>
  <si>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</si>
  <si>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</si>
  <si>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</si>
  <si>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</si>
  <si>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</si>
  <si>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</si>
  <si>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</si>
  <si>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</si>
  <si>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</si>
  <si>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</si>
  <si>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</si>
  <si>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</si>
  <si>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</si>
  <si>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</si>
  <si>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</si>
  <si>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</si>
  <si>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</si>
  <si>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</si>
  <si>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</si>
  <si>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</si>
  <si>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</si>
  <si>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</si>
  <si>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</si>
  <si>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</si>
  <si>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</si>
  <si>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</si>
  <si>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</si>
  <si>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</si>
  <si>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</si>
  <si>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</si>
  <si>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</si>
  <si>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</si>
  <si>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</si>
  <si>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</si>
  <si>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</si>
  <si>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</si>
  <si>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</si>
  <si>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</si>
  <si>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</si>
  <si>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</si>
  <si>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</si>
  <si>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</si>
  <si>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</si>
  <si>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</si>
  <si>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</si>
  <si>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</si>
  <si>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</si>
  <si>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</si>
  <si>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</si>
  <si>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</si>
  <si>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</si>
  <si>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</si>
  <si>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</si>
  <si>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</si>
  <si>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</si>
  <si>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</si>
  <si>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</si>
  <si>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</si>
  <si>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</si>
  <si>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</si>
  <si>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</si>
  <si>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</si>
  <si>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</si>
  <si>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</si>
  <si>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</si>
  <si>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</si>
  <si>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</si>
  <si>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</si>
  <si>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</si>
  <si>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</si>
  <si>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</si>
  <si>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</si>
  <si>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</si>
  <si>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</si>
  <si>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</si>
  <si>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</si>
  <si>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</si>
  <si>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</si>
  <si>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</si>
  <si>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</si>
  <si>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</si>
  <si>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</si>
  <si>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</si>
  <si>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</si>
  <si>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</si>
  <si>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</si>
  <si>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</si>
  <si>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</si>
  <si>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</si>
  <si>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</si>
  <si>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</si>
  <si>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</si>
  <si>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</si>
  <si>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</si>
  <si>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</si>
  <si>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</si>
  <si>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</si>
  <si>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</si>
  <si>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</si>
  <si>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</si>
  <si>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</si>
  <si>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</si>
  <si>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</si>
  <si>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</si>
  <si>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</si>
  <si>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</si>
  <si>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</si>
  <si>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</si>
  <si>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</si>
  <si>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</si>
  <si>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</si>
  <si>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</si>
  <si>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</si>
  <si>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</si>
  <si>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</si>
  <si>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</si>
  <si>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</si>
  <si>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</si>
  <si>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</si>
  <si>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</si>
  <si>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</si>
  <si>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</si>
  <si>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</si>
  <si>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</si>
  <si>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</si>
  <si>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</si>
  <si>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</si>
  <si>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</si>
  <si>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</si>
  <si>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</si>
  <si>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</si>
  <si>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</si>
  <si>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</si>
  <si>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</si>
  <si>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</si>
  <si>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</si>
  <si>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</si>
  <si>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</si>
  <si>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</si>
  <si>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</si>
  <si>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</si>
  <si>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</si>
  <si>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</si>
  <si>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</si>
  <si>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</si>
  <si>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</si>
  <si>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</si>
  <si>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</si>
  <si>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</si>
  <si>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</si>
  <si>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</si>
  <si>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</si>
  <si>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</si>
  <si>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</si>
  <si>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</si>
  <si>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</si>
  <si>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</si>
  <si>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</si>
  <si>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</si>
  <si>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</si>
  <si>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</si>
  <si>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</si>
  <si>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</si>
  <si>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</si>
  <si>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</si>
  <si>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</si>
  <si>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</si>
  <si>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</si>
  <si>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</si>
  <si>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</si>
  <si>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</si>
  <si>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</si>
  <si>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</si>
  <si>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</si>
  <si>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</si>
  <si>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</si>
  <si>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</si>
  <si>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</si>
  <si>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</si>
  <si>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</si>
  <si>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</si>
  <si>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</si>
  <si>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</si>
  <si>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</si>
  <si>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</si>
  <si>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</si>
  <si>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</si>
  <si>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</si>
  <si>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</si>
  <si>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</si>
  <si>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</si>
  <si>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</si>
  <si>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</si>
  <si>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</si>
  <si>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</si>
  <si>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</si>
  <si>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</si>
  <si>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</si>
  <si>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</si>
  <si>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</si>
  <si>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</si>
  <si>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</si>
  <si>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</si>
  <si>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</si>
  <si>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</si>
  <si>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</si>
  <si>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</si>
  <si>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</si>
  <si>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</si>
  <si>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</si>
  <si>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</si>
  <si>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</si>
  <si>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</si>
  <si>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</si>
  <si>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</si>
  <si>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</si>
  <si>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</si>
  <si>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</si>
  <si>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</si>
  <si>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</si>
  <si>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</si>
  <si>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</si>
  <si>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</si>
  <si>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</si>
  <si>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</si>
  <si>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</si>
  <si>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</si>
  <si>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</si>
  <si>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</si>
  <si>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</si>
  <si>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</si>
  <si>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</si>
  <si>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</si>
  <si>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</si>
  <si>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</si>
  <si>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</si>
  <si>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</si>
  <si>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</si>
  <si>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</si>
  <si>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</si>
  <si>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</si>
  <si>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</si>
  <si>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</si>
  <si>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</si>
  <si>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</si>
  <si>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</si>
  <si>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</si>
  <si>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</si>
  <si>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</si>
  <si>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</si>
  <si>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</si>
  <si>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</si>
  <si>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</si>
  <si>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</si>
  <si>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</si>
  <si>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</si>
  <si>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</si>
  <si>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</si>
  <si>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</si>
  <si>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</si>
  <si>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</si>
  <si>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</si>
  <si>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</si>
  <si>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</si>
  <si>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</si>
  <si>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</si>
  <si>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</si>
  <si>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</si>
  <si>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</si>
  <si>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</si>
  <si>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</si>
  <si>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</si>
  <si>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</si>
  <si>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</si>
  <si>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</si>
  <si>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</si>
  <si>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</si>
  <si>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</si>
  <si>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</si>
  <si>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</si>
  <si>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</si>
  <si>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</si>
  <si>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</si>
  <si>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</si>
  <si>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</si>
  <si>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</si>
  <si>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</si>
  <si>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</si>
  <si>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</si>
  <si>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</si>
  <si>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</si>
  <si>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</si>
  <si>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</si>
  <si>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</si>
  <si>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</si>
  <si>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</si>
  <si>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</si>
  <si>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</si>
  <si>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</si>
  <si>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</si>
  <si>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</si>
  <si>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</si>
  <si>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</si>
  <si>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</si>
  <si>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</si>
  <si>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</si>
  <si>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</si>
  <si>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</si>
  <si>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</si>
  <si>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</si>
  <si>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</si>
  <si>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</si>
  <si>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</si>
  <si>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</si>
  <si>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</si>
  <si>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</si>
  <si>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</si>
  <si>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</si>
  <si>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</si>
  <si>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</si>
  <si>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</si>
  <si>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</si>
  <si>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</si>
  <si>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</si>
  <si>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</si>
  <si>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</si>
  <si>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</si>
  <si>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</si>
  <si>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</si>
  <si>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</si>
  <si>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</si>
  <si>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</si>
  <si>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</si>
  <si>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</si>
  <si>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</si>
  <si>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</si>
  <si>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</si>
  <si>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</si>
  <si>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</si>
  <si>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</si>
  <si>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</si>
  <si>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</si>
  <si>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</si>
  <si>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</si>
  <si>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</si>
  <si>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</si>
  <si>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</si>
  <si>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</si>
  <si>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</si>
  <si>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</si>
  <si>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</si>
  <si>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</si>
  <si>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</si>
  <si>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</si>
  <si>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</si>
  <si>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</si>
  <si>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</si>
  <si>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</si>
  <si>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</si>
  <si>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</si>
  <si>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</si>
  <si>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</si>
  <si>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</si>
  <si>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</si>
  <si>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</si>
  <si>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</si>
  <si>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</si>
  <si>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</si>
  <si>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</si>
  <si>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</si>
  <si>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</si>
  <si>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</si>
  <si>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</si>
  <si>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</si>
  <si>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</si>
  <si>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</si>
  <si>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</si>
  <si>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</si>
  <si>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</si>
  <si>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</si>
  <si>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</si>
  <si>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</si>
  <si>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</si>
  <si>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</si>
  <si>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</si>
  <si>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</si>
  <si>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</si>
  <si>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</si>
  <si>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</si>
  <si>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</si>
  <si>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</si>
  <si>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</si>
  <si>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</si>
  <si>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</si>
  <si>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</si>
  <si>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</si>
  <si>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</si>
  <si>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</si>
  <si>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</si>
  <si>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</si>
  <si>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</si>
  <si>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</si>
  <si>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</si>
  <si>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</si>
  <si>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</si>
  <si>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</si>
  <si>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</si>
  <si>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</si>
  <si>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</si>
  <si>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</si>
  <si>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</si>
  <si>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</si>
  <si>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</si>
  <si>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</si>
  <si>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</si>
  <si>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</si>
  <si>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</si>
  <si>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</si>
  <si>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</si>
  <si>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</si>
  <si>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</si>
  <si>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</si>
  <si>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</si>
  <si>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</si>
  <si>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</si>
  <si>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</si>
  <si>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</si>
  <si>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</si>
  <si>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</si>
  <si>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</si>
  <si>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</si>
  <si>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</si>
  <si>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</si>
  <si>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</si>
  <si>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</si>
  <si>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</si>
  <si>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</si>
  <si>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</si>
  <si>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</si>
  <si>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</si>
  <si>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</si>
  <si>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</si>
  <si>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</si>
  <si>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</si>
  <si>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</si>
  <si>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</si>
  <si>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</si>
  <si>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</si>
  <si>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</si>
  <si>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</si>
  <si>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</si>
  <si>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</si>
  <si>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</si>
  <si>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</si>
  <si>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</si>
  <si>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</si>
  <si>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</si>
  <si>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</si>
  <si>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</si>
  <si>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</si>
  <si>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</si>
  <si>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</si>
  <si>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</si>
  <si>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</si>
  <si>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</si>
  <si>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</si>
  <si>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</si>
  <si>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</si>
  <si>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</si>
  <si>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</si>
  <si>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</si>
  <si>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</si>
  <si>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</si>
  <si>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</si>
  <si>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</si>
  <si>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</si>
  <si>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</si>
  <si>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</si>
  <si>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</si>
  <si>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</si>
  <si>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</si>
  <si>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</si>
  <si>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</si>
  <si>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</si>
  <si>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</si>
  <si>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</si>
  <si>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</si>
  <si>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</si>
  <si>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</si>
  <si>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</si>
  <si>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</si>
  <si>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</si>
  <si>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</si>
  <si>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</si>
  <si>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</si>
  <si>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</si>
  <si>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</si>
  <si>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</si>
  <si>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</si>
  <si>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</si>
  <si>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</si>
  <si>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</si>
  <si>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</si>
  <si>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</si>
  <si>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</si>
  <si>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</si>
  <si>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</si>
  <si>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</si>
  <si>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</si>
  <si>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</si>
  <si>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</si>
  <si>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</si>
  <si>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</si>
  <si>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</si>
  <si>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</si>
  <si>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</si>
  <si>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</si>
  <si>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</si>
  <si>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</si>
  <si>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</si>
  <si>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</si>
  <si>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</si>
  <si>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</si>
  <si>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</si>
  <si>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</si>
  <si>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</si>
  <si>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</si>
  <si>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</si>
  <si>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</si>
  <si>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</si>
  <si>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</si>
  <si>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</si>
  <si>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</si>
  <si>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</si>
  <si>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</si>
  <si>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</si>
  <si>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</si>
  <si>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</si>
  <si>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</si>
  <si>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</si>
  <si>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</si>
  <si>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</si>
  <si>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</si>
  <si>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</si>
  <si>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</si>
  <si>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</si>
  <si>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</si>
  <si>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</si>
  <si>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</si>
  <si>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</si>
  <si>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</si>
  <si>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</si>
  <si>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</si>
  <si>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</si>
  <si>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</si>
  <si>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</si>
  <si>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</si>
  <si>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</si>
  <si>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</si>
  <si>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</si>
  <si>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</si>
  <si>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</si>
  <si>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</si>
  <si>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</si>
  <si>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</si>
  <si>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</si>
  <si>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</si>
  <si>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</si>
  <si>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</si>
  <si>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</si>
  <si>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</si>
  <si>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</si>
  <si>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</si>
  <si>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</si>
  <si>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</si>
  <si>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</si>
  <si>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</si>
  <si>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</si>
  <si>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</si>
  <si>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</si>
  <si>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</si>
  <si>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</si>
  <si>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</si>
  <si>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</si>
  <si>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</si>
  <si>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</si>
  <si>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</si>
  <si>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</si>
  <si>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</si>
  <si>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</si>
  <si>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</si>
  <si>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</si>
  <si>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</si>
  <si>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</si>
  <si>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</si>
  <si>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</si>
  <si>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</si>
  <si>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</si>
  <si>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</si>
  <si>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</si>
  <si>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</si>
  <si>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</si>
  <si>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</si>
  <si>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</si>
  <si>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</si>
  <si>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</si>
  <si>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</si>
  <si>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</si>
  <si>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</si>
  <si>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</si>
  <si>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</si>
  <si>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</si>
  <si>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</si>
  <si>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</si>
  <si>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</si>
  <si>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</si>
  <si>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</si>
  <si>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</si>
  <si>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</si>
  <si>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</si>
  <si>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</si>
  <si>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</si>
  <si>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</si>
  <si>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</si>
  <si>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</si>
  <si>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</si>
  <si>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</si>
  <si>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</si>
  <si>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</si>
  <si>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</si>
  <si>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</si>
  <si>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</si>
  <si>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</si>
  <si>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</si>
  <si>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</si>
  <si>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</si>
  <si>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</si>
  <si>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</si>
  <si>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</si>
  <si>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</si>
  <si>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</si>
  <si>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</si>
  <si>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</si>
  <si>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</si>
  <si>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</si>
  <si>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</si>
  <si>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</si>
  <si>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</si>
  <si>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</si>
  <si>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</si>
  <si>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</si>
  <si>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</si>
  <si>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</si>
  <si>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</si>
  <si>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</si>
  <si>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</si>
  <si>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</si>
  <si>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</si>
  <si>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</si>
  <si>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</si>
  <si>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</si>
  <si>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</si>
  <si>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</si>
  <si>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</si>
  <si>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</si>
  <si>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</si>
  <si>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</si>
  <si>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</si>
  <si>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</si>
  <si>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</si>
  <si>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</si>
  <si>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</si>
  <si>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</si>
  <si>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</si>
  <si>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</si>
  <si>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</si>
  <si>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</si>
  <si>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</si>
  <si>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</si>
  <si>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</si>
  <si>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</si>
  <si>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</si>
  <si>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</si>
  <si>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</si>
  <si>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</si>
  <si>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</si>
  <si>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</si>
  <si>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</si>
  <si>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</si>
  <si>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</si>
  <si>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</si>
  <si>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</si>
  <si>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</si>
  <si>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</si>
  <si>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</si>
  <si>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</si>
  <si>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</si>
  <si>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</si>
  <si>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</si>
  <si>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</si>
  <si>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</si>
  <si>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</si>
  <si>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</si>
  <si>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</si>
  <si>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</si>
  <si>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</si>
  <si>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</si>
  <si>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</si>
  <si>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</si>
  <si>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</si>
  <si>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</si>
  <si>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</si>
  <si>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</si>
  <si>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</si>
  <si>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</si>
  <si>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</si>
  <si>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</si>
  <si>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</si>
  <si>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</si>
  <si>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</si>
  <si>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</si>
  <si>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</si>
  <si>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</si>
  <si>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</si>
  <si>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</si>
  <si>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</si>
  <si>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</si>
  <si>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</si>
  <si>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</si>
  <si>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</si>
  <si>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</si>
  <si>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</si>
  <si>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</si>
  <si>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</si>
  <si>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</si>
  <si>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</si>
  <si>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</si>
  <si>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</si>
  <si>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</si>
  <si>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</si>
  <si>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</si>
  <si>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</si>
  <si>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</si>
  <si>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</si>
  <si>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</si>
  <si>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</si>
  <si>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</si>
  <si>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</si>
  <si>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</si>
  <si>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</si>
  <si>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</si>
  <si>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</si>
  <si>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</si>
  <si>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</si>
  <si>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</si>
  <si>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</si>
  <si>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</si>
  <si>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</si>
  <si>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</si>
  <si>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</si>
  <si>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</si>
  <si>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</si>
  <si>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</si>
  <si>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</si>
  <si>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</si>
  <si>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</si>
  <si>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</si>
  <si>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</si>
  <si>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</si>
  <si>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</si>
  <si>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</si>
  <si>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</si>
  <si>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</si>
  <si>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</si>
  <si>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</si>
  <si>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</si>
  <si>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</si>
  <si>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</si>
  <si>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</si>
  <si>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</si>
  <si>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</si>
  <si>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</si>
  <si>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</si>
  <si>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</si>
  <si>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</si>
  <si>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</si>
  <si>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</si>
  <si>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</si>
  <si>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</si>
  <si>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</si>
  <si>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</si>
  <si>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</si>
  <si>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</si>
  <si>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</si>
  <si>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</si>
  <si>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</si>
  <si>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</si>
  <si>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</si>
  <si>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</si>
  <si>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</si>
  <si>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</si>
  <si>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</si>
  <si>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</si>
  <si>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</si>
  <si>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</si>
  <si>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</si>
  <si>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</si>
  <si>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</si>
  <si>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</si>
  <si>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</si>
  <si>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</si>
  <si>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</si>
  <si>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</si>
  <si>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</si>
  <si>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</si>
  <si>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</si>
  <si>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</si>
  <si>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</si>
  <si>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</si>
  <si>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</si>
  <si>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</si>
  <si>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</si>
  <si>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</si>
  <si>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</si>
  <si>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</si>
  <si>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</si>
  <si>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</si>
  <si>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</si>
  <si>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</si>
  <si>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</si>
  <si>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</si>
  <si>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</si>
  <si>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</si>
  <si>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</si>
  <si>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</si>
  <si>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</si>
  <si>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</si>
  <si>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</si>
  <si>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</si>
  <si>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</si>
  <si>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</si>
  <si>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</si>
  <si>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</si>
  <si>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</si>
  <si>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</si>
  <si>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</si>
  <si>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</si>
  <si>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</si>
  <si>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</si>
  <si>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</si>
  <si>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</si>
  <si>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</si>
  <si>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</si>
  <si>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</si>
  <si>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</si>
  <si>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</si>
  <si>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</si>
  <si>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</si>
  <si>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</si>
  <si>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</si>
  <si>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</si>
  <si>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</si>
  <si>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</si>
  <si>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</si>
  <si>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</si>
  <si>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</si>
  <si>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</si>
  <si>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</si>
  <si>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</si>
  <si>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</si>
  <si>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</si>
  <si>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</si>
  <si>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</si>
  <si>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</si>
  <si>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</si>
  <si>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</si>
  <si>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</si>
  <si>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</si>
  <si>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</si>
  <si>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</si>
  <si>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</si>
  <si>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</si>
  <si>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</si>
  <si>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</si>
  <si>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</si>
  <si>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</si>
  <si>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</si>
  <si>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</si>
  <si>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</si>
  <si>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</si>
  <si>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</si>
  <si>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</si>
  <si>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</si>
  <si>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</si>
  <si>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</si>
  <si>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</si>
  <si>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</si>
  <si>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</si>
  <si>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</si>
  <si>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</si>
  <si>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</si>
  <si>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</si>
  <si>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</si>
  <si>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</si>
  <si>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</si>
  <si>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</si>
  <si>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</si>
  <si>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</si>
  <si>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</si>
  <si>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</si>
  <si>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</si>
  <si>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</si>
  <si>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</si>
  <si>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</si>
  <si>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</si>
  <si>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</si>
  <si>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</si>
  <si>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</si>
  <si>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</si>
  <si>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</si>
  <si>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</si>
  <si>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</si>
  <si>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</si>
  <si>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</si>
  <si>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</si>
  <si>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</si>
  <si>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</si>
  <si>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</si>
  <si>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</si>
  <si>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</si>
  <si>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</si>
  <si>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</si>
  <si>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</si>
  <si>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</si>
  <si>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</si>
  <si>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</si>
  <si>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</si>
  <si>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</si>
  <si>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</si>
  <si>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</si>
  <si>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</si>
  <si>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</si>
  <si>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</si>
  <si>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</si>
  <si>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</si>
  <si>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</si>
  <si>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</si>
  <si>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</si>
  <si>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</si>
  <si>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</si>
  <si>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</si>
  <si>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</si>
  <si>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</si>
  <si>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</si>
  <si>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</si>
  <si>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</si>
  <si>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</si>
  <si>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</si>
  <si>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</si>
  <si>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</si>
  <si>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</si>
  <si>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</si>
  <si>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</si>
  <si>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</si>
  <si>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</si>
  <si>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</si>
  <si>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</si>
  <si>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</si>
  <si>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</si>
  <si>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</si>
  <si>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</si>
  <si>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</si>
  <si>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</si>
  <si>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</si>
  <si>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</si>
  <si>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</si>
  <si>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</si>
  <si>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</si>
  <si>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</si>
  <si>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</si>
  <si>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</si>
  <si>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</si>
  <si>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</si>
  <si>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</si>
  <si>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</si>
  <si>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</si>
  <si>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</si>
  <si>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</si>
  <si>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</si>
  <si>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</si>
  <si>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</si>
  <si>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</si>
  <si>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</si>
  <si>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</si>
  <si>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</si>
  <si>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</si>
  <si>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</si>
  <si>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</si>
  <si>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</si>
  <si>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</si>
  <si>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</si>
  <si>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</si>
  <si>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</si>
  <si>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</si>
  <si>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</si>
  <si>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</si>
  <si>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</si>
  <si>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</si>
  <si>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</si>
  <si>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</si>
  <si>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</si>
  <si>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</si>
  <si>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</si>
  <si>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</si>
  <si>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</si>
  <si>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</si>
  <si>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</si>
  <si>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</si>
  <si>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</si>
  <si>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</si>
  <si>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</si>
  <si>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</si>
  <si>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</si>
  <si>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</si>
  <si>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</si>
  <si>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</si>
  <si>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</si>
  <si>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</si>
  <si>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</si>
  <si>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</si>
  <si>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</si>
  <si>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</si>
  <si>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</si>
  <si>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</si>
  <si>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</si>
  <si>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</si>
  <si>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</si>
  <si>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</si>
  <si>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</si>
  <si>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</si>
  <si>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</si>
  <si>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</si>
  <si>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</si>
  <si>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</si>
  <si>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</si>
  <si>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</si>
  <si>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</si>
  <si>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</si>
  <si>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</si>
  <si>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</si>
  <si>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</si>
  <si>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</si>
  <si>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</si>
  <si>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</si>
  <si>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</si>
  <si>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</si>
  <si>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</si>
  <si>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</si>
  <si>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</si>
  <si>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</si>
  <si>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</si>
  <si>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</si>
  <si>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</si>
  <si>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</si>
  <si>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</si>
  <si>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</si>
  <si>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</si>
  <si>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</si>
  <si>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</si>
  <si>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</si>
  <si>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</si>
  <si>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</si>
  <si>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</si>
  <si>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</si>
  <si>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</si>
  <si>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</si>
  <si>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</si>
  <si>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</si>
  <si>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</si>
  <si>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</si>
  <si>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</si>
  <si>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</si>
  <si>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</si>
  <si>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</si>
  <si>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</si>
  <si>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</si>
  <si>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</si>
  <si>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</si>
  <si>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</si>
  <si>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</si>
  <si>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</si>
  <si>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</si>
  <si>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</si>
  <si>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</si>
  <si>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</si>
  <si>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</si>
  <si>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</si>
  <si>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</si>
  <si>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</si>
  <si>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</si>
  <si>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</si>
  <si>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</si>
  <si>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</si>
  <si>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</si>
  <si>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</si>
  <si>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</si>
  <si>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</si>
  <si>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</si>
  <si>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</si>
  <si>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</si>
  <si>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</si>
  <si>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</si>
  <si>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</si>
  <si>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</si>
  <si>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</si>
  <si>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</si>
  <si>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</si>
  <si>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</si>
  <si>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</si>
  <si>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</si>
  <si>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</si>
  <si>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</si>
  <si>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</si>
  <si>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</si>
  <si>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</si>
  <si>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</si>
  <si>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</si>
  <si>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</si>
  <si>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</si>
  <si>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</si>
  <si>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</si>
  <si>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</si>
  <si>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</si>
  <si>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</si>
  <si>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</si>
  <si>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</si>
  <si>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</si>
  <si>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</si>
  <si>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</si>
  <si>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</si>
  <si>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</si>
  <si>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</si>
  <si>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</si>
  <si>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</si>
  <si>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</si>
  <si>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</si>
  <si>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</si>
  <si>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</si>
  <si>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</si>
  <si>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</si>
  <si>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</si>
  <si>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</si>
  <si>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</si>
  <si>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</si>
  <si>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</si>
  <si>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</si>
  <si>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</si>
  <si>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</si>
  <si>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</si>
  <si>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</si>
  <si>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</si>
  <si>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</si>
  <si>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</si>
  <si>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</si>
  <si>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</si>
  <si>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</si>
  <si>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</si>
  <si>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</si>
  <si>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</si>
  <si>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</si>
  <si>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</si>
  <si>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</si>
  <si>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</si>
  <si>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</si>
  <si>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</si>
  <si>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</si>
  <si>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</si>
  <si>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</si>
  <si>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</si>
  <si>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</si>
  <si>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</si>
  <si>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</si>
  <si>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</si>
  <si>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</si>
  <si>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</si>
  <si>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</si>
  <si>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</si>
  <si>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</si>
  <si>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</si>
  <si>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</si>
  <si>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</si>
  <si>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</si>
  <si>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</si>
  <si>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</si>
  <si>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</si>
  <si>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</si>
  <si>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</si>
  <si>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</si>
  <si>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</si>
  <si>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</si>
  <si>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</si>
  <si>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</si>
  <si>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</si>
  <si>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</si>
  <si>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</si>
  <si>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</si>
  <si>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</si>
  <si>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</si>
  <si>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</si>
  <si>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</si>
  <si>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</si>
  <si>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</si>
  <si>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</si>
  <si>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</si>
  <si>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</si>
  <si>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</si>
  <si>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</si>
  <si>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</si>
  <si>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</si>
  <si>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</si>
  <si>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</si>
  <si>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</si>
  <si>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</si>
  <si>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</si>
  <si>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</si>
  <si>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</si>
  <si>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</si>
  <si>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</si>
  <si>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</si>
  <si>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</si>
  <si>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</si>
  <si>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</si>
  <si>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</si>
  <si>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</si>
  <si>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</si>
  <si>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</si>
  <si>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</si>
  <si>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</si>
  <si>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</si>
  <si>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</si>
  <si>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</si>
  <si>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</si>
  <si>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</si>
  <si>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</si>
  <si>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</si>
  <si>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</si>
  <si>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</si>
  <si>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</si>
  <si>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</si>
  <si>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</si>
  <si>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</si>
  <si>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</si>
  <si>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</si>
  <si>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</si>
  <si>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</si>
  <si>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</si>
  <si>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</si>
  <si>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</si>
  <si>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</si>
  <si>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</si>
  <si>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</si>
  <si>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</si>
  <si>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</si>
  <si>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</si>
  <si>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</si>
  <si>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</si>
  <si>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</si>
  <si>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</si>
  <si>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</si>
  <si>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</si>
  <si>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</si>
  <si>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</si>
  <si>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</si>
  <si>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</si>
  <si>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</si>
  <si>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</si>
  <si>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</si>
  <si>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</si>
  <si>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</si>
  <si>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</si>
  <si>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</si>
  <si>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</si>
  <si>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</si>
  <si>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</si>
  <si>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</si>
  <si>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</si>
  <si>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</si>
  <si>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</si>
  <si>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</si>
  <si>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</si>
  <si>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</si>
  <si>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</si>
  <si>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</si>
  <si>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</si>
  <si>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</si>
  <si>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</si>
  <si>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</si>
  <si>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</si>
  <si>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</si>
  <si>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</si>
  <si>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</si>
  <si>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</si>
  <si>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</si>
  <si>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</si>
  <si>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</si>
  <si>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</si>
  <si>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</si>
  <si>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</si>
  <si>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</si>
  <si>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</si>
  <si>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</si>
  <si>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</si>
  <si>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</si>
  <si>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</si>
  <si>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</si>
  <si>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</si>
  <si>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</si>
  <si>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</si>
  <si>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</si>
  <si>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</si>
  <si>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</si>
  <si>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</si>
  <si>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</si>
  <si>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</si>
  <si>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</si>
  <si>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</si>
  <si>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</si>
  <si>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</si>
  <si>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</si>
  <si>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</si>
  <si>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</si>
  <si>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</si>
  <si>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</si>
  <si>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</si>
  <si>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</si>
  <si>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</si>
  <si>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</si>
  <si>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</si>
  <si>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</si>
  <si>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</si>
  <si>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</si>
  <si>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</si>
  <si>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</si>
  <si>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</si>
  <si>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</si>
  <si>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</si>
  <si>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</si>
  <si>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</si>
  <si>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</si>
  <si>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</si>
  <si>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</si>
  <si>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</si>
  <si>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</si>
  <si>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</si>
  <si>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</si>
  <si>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</si>
  <si>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</si>
  <si>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</si>
  <si>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</si>
  <si>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</si>
  <si>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</si>
  <si>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</si>
  <si>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</si>
  <si>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</si>
  <si>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</si>
  <si>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</si>
  <si>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</si>
  <si>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</si>
  <si>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</si>
  <si>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</si>
  <si>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</si>
  <si>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</si>
  <si>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</si>
  <si>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</si>
  <si>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</si>
  <si>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</si>
  <si>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</si>
  <si>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</si>
  <si>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</si>
  <si>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</si>
  <si>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</si>
  <si>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</si>
  <si>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</si>
  <si>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</si>
  <si>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</si>
  <si>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</si>
  <si>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</si>
  <si>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</si>
  <si>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</si>
  <si>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</si>
  <si>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</si>
  <si>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</si>
  <si>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</si>
  <si>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</si>
  <si>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</si>
  <si>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</si>
  <si>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</si>
  <si>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</si>
  <si>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</si>
  <si>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</si>
  <si>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</si>
  <si>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</si>
  <si>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</si>
  <si>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</si>
  <si>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</si>
  <si>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</si>
  <si>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</si>
  <si>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</si>
  <si>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</si>
  <si>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</si>
  <si>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</si>
  <si>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</si>
  <si>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</si>
  <si>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</si>
  <si>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</si>
  <si>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</si>
  <si>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</si>
  <si>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</si>
  <si>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</si>
  <si>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</si>
  <si>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</si>
  <si>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</si>
  <si>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</si>
  <si>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</si>
  <si>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</si>
  <si>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</si>
  <si>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</si>
  <si>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</si>
  <si>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</si>
  <si>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</si>
  <si>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</si>
  <si>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</si>
  <si>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</si>
  <si>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</si>
  <si>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</si>
  <si>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</si>
  <si>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</si>
  <si>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</si>
  <si>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</si>
  <si>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</si>
  <si>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</si>
  <si>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</si>
  <si>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</si>
  <si>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</si>
  <si>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</si>
  <si>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</si>
  <si>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</si>
  <si>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</si>
  <si>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</si>
  <si>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</si>
  <si>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</si>
  <si>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</si>
  <si>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</si>
  <si>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</si>
  <si>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</si>
  <si>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</si>
  <si>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</si>
  <si>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</si>
  <si>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</si>
  <si>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</si>
  <si>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</si>
  <si>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</si>
  <si>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</si>
  <si>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</si>
  <si>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</si>
  <si>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</si>
  <si>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</si>
  <si>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</si>
  <si>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</si>
  <si>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</si>
  <si>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</si>
  <si>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</si>
  <si>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</si>
  <si>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</si>
  <si>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</si>
  <si>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</si>
  <si>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</si>
  <si>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</si>
  <si>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</si>
  <si>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</si>
  <si>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</si>
  <si>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</si>
  <si>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</si>
  <si>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</si>
  <si>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</si>
  <si>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</si>
  <si>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</si>
  <si>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</si>
  <si>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</si>
  <si>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</si>
  <si>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</si>
  <si>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</si>
  <si>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</si>
  <si>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</si>
  <si>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</si>
  <si>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</si>
  <si>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</si>
  <si>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</si>
  <si>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</si>
  <si>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</si>
  <si>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</si>
  <si>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</si>
  <si>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</si>
  <si>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</si>
  <si>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</si>
  <si>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</si>
  <si>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</si>
  <si>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</si>
  <si>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</si>
  <si>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</si>
  <si>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</si>
  <si>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</si>
  <si>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</si>
  <si>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</si>
  <si>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</si>
  <si>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</si>
  <si>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</si>
  <si>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</si>
  <si>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</si>
  <si>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</si>
  <si>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</si>
  <si>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</si>
  <si>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</si>
  <si>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</si>
  <si>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</si>
  <si>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</si>
  <si>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</si>
  <si>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</si>
  <si>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</si>
  <si>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</si>
  <si>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</si>
  <si>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</si>
  <si>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</si>
  <si>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</si>
  <si>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</si>
  <si>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</si>
  <si>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</si>
  <si>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</si>
  <si>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</si>
  <si>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</si>
  <si>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</si>
  <si>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</si>
  <si>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</si>
  <si>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</si>
  <si>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</si>
  <si>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</si>
  <si>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</si>
  <si>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</si>
  <si>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</si>
  <si>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</si>
  <si>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</si>
  <si>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</si>
  <si>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</si>
  <si>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</si>
  <si>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</si>
  <si>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</si>
  <si>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</si>
  <si>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</si>
  <si>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</si>
  <si>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</si>
  <si>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</si>
  <si>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</si>
  <si>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</si>
  <si>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</si>
  <si>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</si>
  <si>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</si>
  <si>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</si>
  <si>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</si>
  <si>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</si>
  <si>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</si>
  <si>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</si>
  <si>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</si>
  <si>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</si>
  <si>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</si>
  <si>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</si>
  <si>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</si>
  <si>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</si>
  <si>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</si>
  <si>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</si>
  <si>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</si>
  <si>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</si>
  <si>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</si>
  <si>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</si>
  <si>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</si>
  <si>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</si>
  <si>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</si>
  <si>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</si>
  <si>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</si>
  <si>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</si>
  <si>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</si>
  <si>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</si>
  <si>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</si>
  <si>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</si>
  <si>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</si>
  <si>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</si>
  <si>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</si>
  <si>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</si>
  <si>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</si>
  <si>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</si>
  <si>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</si>
  <si>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</si>
  <si>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</si>
  <si>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</si>
  <si>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</si>
  <si>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</si>
  <si>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</si>
  <si>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</si>
  <si>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</si>
  <si>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</si>
  <si>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</si>
  <si>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</si>
  <si>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</si>
  <si>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</si>
  <si>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</si>
  <si>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</si>
  <si>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</si>
  <si>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</si>
  <si>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</si>
  <si>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</si>
  <si>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</si>
  <si>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</si>
  <si>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</si>
  <si>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</si>
  <si>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</si>
  <si>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</si>
  <si>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</si>
  <si>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</si>
  <si>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</si>
  <si>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</si>
  <si>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</si>
  <si>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</si>
  <si>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</si>
  <si>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</si>
  <si>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</si>
  <si>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</si>
  <si>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</si>
  <si>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</si>
  <si>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</si>
  <si>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</si>
  <si>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</si>
  <si>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</si>
  <si>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</si>
  <si>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</si>
  <si>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</si>
  <si>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</si>
  <si>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</si>
  <si>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</si>
  <si>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</si>
  <si>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</si>
  <si>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</si>
  <si>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</si>
  <si>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</si>
  <si>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</si>
  <si>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</si>
  <si>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</si>
  <si>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</si>
  <si>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</si>
  <si>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</si>
  <si>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</si>
  <si>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</si>
  <si>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</si>
  <si>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</si>
  <si>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</si>
  <si>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</si>
  <si>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</si>
  <si>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</si>
  <si>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</si>
  <si>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</si>
  <si>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</si>
  <si>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</si>
  <si>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</si>
  <si>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</si>
  <si>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</si>
  <si>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</si>
  <si>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</si>
  <si>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</si>
  <si>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</si>
  <si>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</si>
  <si>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</si>
  <si>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</si>
  <si>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</si>
  <si>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</si>
  <si>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</si>
  <si>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</si>
  <si>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</si>
  <si>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</si>
  <si>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</si>
  <si>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</si>
  <si>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</si>
  <si>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</si>
  <si>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</si>
  <si>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</si>
  <si>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</si>
  <si>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</si>
  <si>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</si>
  <si>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</si>
  <si>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</si>
  <si>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</si>
  <si>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</si>
  <si>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</si>
  <si>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</si>
  <si>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</si>
  <si>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</si>
  <si>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</si>
  <si>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</si>
  <si>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</si>
  <si>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</si>
  <si>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</si>
  <si>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</si>
  <si>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</si>
  <si>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</si>
  <si>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</si>
  <si>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</si>
  <si>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</si>
  <si>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</si>
  <si>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</si>
  <si>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</si>
  <si>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</si>
  <si>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</si>
  <si>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</si>
  <si>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</si>
  <si>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</si>
  <si>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</si>
  <si>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</si>
  <si>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</si>
  <si>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</si>
  <si>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</si>
  <si>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</si>
  <si>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</si>
  <si>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</si>
  <si>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</si>
  <si>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</si>
  <si>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</si>
  <si>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</si>
  <si>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</si>
  <si>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</si>
  <si>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</si>
  <si>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</si>
  <si>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</si>
  <si>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</si>
  <si>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</si>
  <si>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</si>
  <si>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</si>
  <si>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</si>
  <si>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</si>
  <si>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</si>
  <si>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</si>
  <si>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</si>
  <si>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</si>
  <si>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</si>
  <si>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</si>
  <si>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</si>
  <si>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</si>
  <si>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</si>
  <si>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</si>
  <si>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</si>
  <si>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</si>
  <si>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</si>
  <si>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</si>
  <si>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</si>
  <si>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</si>
  <si>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</si>
  <si>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</si>
  <si>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</si>
  <si>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</si>
  <si>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</si>
  <si>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</si>
  <si>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</si>
  <si>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</si>
  <si>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</si>
  <si>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</si>
  <si>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</si>
  <si>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</si>
  <si>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</si>
  <si>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</si>
  <si>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</si>
  <si>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</si>
  <si>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</si>
  <si>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</si>
  <si>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</si>
  <si>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</si>
  <si>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</si>
  <si>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</si>
  <si>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</si>
  <si>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</si>
  <si>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</si>
  <si>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</si>
  <si>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</si>
  <si>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</si>
  <si>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</si>
  <si>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</si>
  <si>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</si>
  <si>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</si>
  <si>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</si>
  <si>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</si>
  <si>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</si>
  <si>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</si>
  <si>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</si>
  <si>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</si>
  <si>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</si>
  <si>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</si>
  <si>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</si>
  <si>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</si>
  <si>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</si>
  <si>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</si>
  <si>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</si>
  <si>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</si>
  <si>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</si>
  <si>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</si>
  <si>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</si>
  <si>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</si>
  <si>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</si>
  <si>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</si>
  <si>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</si>
  <si>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</si>
  <si>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</si>
  <si>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</si>
  <si>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</si>
  <si>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</si>
  <si>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</si>
  <si>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</si>
  <si>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</si>
  <si>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</si>
  <si>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</si>
  <si>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</si>
  <si>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</si>
  <si>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</si>
  <si>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</si>
  <si>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</si>
  <si>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</si>
  <si>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</si>
  <si>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</si>
  <si>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</si>
  <si>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</si>
  <si>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</si>
  <si>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</si>
  <si>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</si>
  <si>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</si>
  <si>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</si>
  <si>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</si>
  <si>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</si>
  <si>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</si>
  <si>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</si>
  <si>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</si>
  <si>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</si>
  <si>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</si>
  <si>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</si>
  <si>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</si>
  <si>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</si>
  <si>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</si>
  <si>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</si>
  <si>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</si>
  <si>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</si>
  <si>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</si>
  <si>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</si>
  <si>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</si>
  <si>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</si>
  <si>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</si>
  <si>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</si>
  <si>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</si>
  <si>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</si>
  <si>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</si>
  <si>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</si>
  <si>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</si>
  <si>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</si>
  <si>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</si>
  <si>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</si>
  <si>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</si>
  <si>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</si>
  <si>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</si>
  <si>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</si>
  <si>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</si>
  <si>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</si>
  <si>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</si>
  <si>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</si>
  <si>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</si>
  <si>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</si>
  <si>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</si>
  <si>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</si>
  <si>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</si>
  <si>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</si>
  <si>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</si>
  <si>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</si>
  <si>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</si>
  <si>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</si>
  <si>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</si>
  <si>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</si>
  <si>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</si>
  <si>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</si>
  <si>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</si>
  <si>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</si>
  <si>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</si>
  <si>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</si>
  <si>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</si>
  <si>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</si>
  <si>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</si>
  <si>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</si>
  <si>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</si>
  <si>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</si>
  <si>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</si>
  <si>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</si>
  <si>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</si>
  <si>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</si>
  <si>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</si>
  <si>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</si>
  <si>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</si>
  <si>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</si>
  <si>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</si>
  <si>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</si>
  <si>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</si>
  <si>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</si>
  <si>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</si>
  <si>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</si>
  <si>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</si>
  <si>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</si>
  <si>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</si>
  <si>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</si>
  <si>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</si>
  <si>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</si>
  <si>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</si>
  <si>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</si>
  <si>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</si>
  <si>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</si>
  <si>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</si>
  <si>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</si>
  <si>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</si>
  <si>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</si>
  <si>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</si>
  <si>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</si>
  <si>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</si>
  <si>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</si>
  <si>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</si>
  <si>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</si>
  <si>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</si>
  <si>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</si>
  <si>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</si>
  <si>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</si>
  <si>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</si>
  <si>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</si>
  <si>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</si>
  <si>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</si>
  <si>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</si>
  <si>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</si>
  <si>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</si>
  <si>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</si>
  <si>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</si>
  <si>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</si>
  <si>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</si>
  <si>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</si>
  <si>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</si>
  <si>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</si>
  <si>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</si>
  <si>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</si>
  <si>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</si>
  <si>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</si>
  <si>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</si>
  <si>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</si>
  <si>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</si>
  <si>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</si>
  <si>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</si>
  <si>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</si>
  <si>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</si>
  <si>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</si>
  <si>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</si>
  <si>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</si>
  <si>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</si>
  <si>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</si>
  <si>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</si>
  <si>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</si>
  <si>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</si>
  <si>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</si>
  <si>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</si>
  <si>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</si>
  <si>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</si>
  <si>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</si>
  <si>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</si>
  <si>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</si>
  <si>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</si>
  <si>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</si>
  <si>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</si>
  <si>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</si>
  <si>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</si>
  <si>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</si>
  <si>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</si>
  <si>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</si>
  <si>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</si>
  <si>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</si>
  <si>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</si>
  <si>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</si>
  <si>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</si>
  <si>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</si>
  <si>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</si>
  <si>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</si>
  <si>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</si>
  <si>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</si>
  <si>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</si>
  <si>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</si>
  <si>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</si>
  <si>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</si>
  <si>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</si>
  <si>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</si>
  <si>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</si>
  <si>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</si>
  <si>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</si>
  <si>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</si>
  <si>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</si>
  <si>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</si>
  <si>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</si>
  <si>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</si>
  <si>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</si>
  <si>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</si>
  <si>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</si>
  <si>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</si>
  <si>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</si>
  <si>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</si>
  <si>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</si>
  <si>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</si>
  <si>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</si>
  <si>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</si>
  <si>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</si>
  <si>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</si>
  <si>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</si>
  <si>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</si>
  <si>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</si>
  <si>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</si>
  <si>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</si>
  <si>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</si>
  <si>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</si>
  <si>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</si>
  <si>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</si>
  <si>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</si>
  <si>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</si>
  <si>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</si>
  <si>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</si>
  <si>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</si>
  <si>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</si>
  <si>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</si>
  <si>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</si>
  <si>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</si>
  <si>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</si>
  <si>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</si>
  <si>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</si>
  <si>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</si>
  <si>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</si>
  <si>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</si>
  <si>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</si>
  <si>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</si>
  <si>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</si>
  <si>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</si>
  <si>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</si>
  <si>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</si>
  <si>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</si>
  <si>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</si>
  <si>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</si>
  <si>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</si>
  <si>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</si>
  <si>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</si>
  <si>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</si>
  <si>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</si>
  <si>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</si>
  <si>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</si>
  <si>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</si>
  <si>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</si>
  <si>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</si>
  <si>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</si>
  <si>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</si>
  <si>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</si>
  <si>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</si>
  <si>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</si>
  <si>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</si>
  <si>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</si>
  <si>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</si>
  <si>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</si>
  <si>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</si>
  <si>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</si>
  <si>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</si>
  <si>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</si>
  <si>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</si>
  <si>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</si>
  <si>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</si>
  <si>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</si>
  <si>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</si>
  <si>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</si>
  <si>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</si>
  <si>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</si>
  <si>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</si>
  <si>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</si>
  <si>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</si>
  <si>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</si>
  <si>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</si>
  <si>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</si>
  <si>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</si>
  <si>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</si>
  <si>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</si>
  <si>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</si>
  <si>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</si>
  <si>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</si>
  <si>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</si>
  <si>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</si>
  <si>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</si>
  <si>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</si>
  <si>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</si>
  <si>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</si>
  <si>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</si>
  <si>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</si>
  <si>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</si>
  <si>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</si>
  <si>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</si>
  <si>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</si>
  <si>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</si>
  <si>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</si>
  <si>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</si>
  <si>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</si>
  <si>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</si>
  <si>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</si>
  <si>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</si>
  <si>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</si>
  <si>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</si>
  <si>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</si>
  <si>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</si>
  <si>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</si>
  <si>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</si>
  <si>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</si>
  <si>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</si>
  <si>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</si>
  <si>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</si>
  <si>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</si>
  <si>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</si>
  <si>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</si>
  <si>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</si>
  <si>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</si>
  <si>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</si>
  <si>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</si>
  <si>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</si>
  <si>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</si>
  <si>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</si>
  <si>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</si>
  <si>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</si>
  <si>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</si>
  <si>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</si>
  <si>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</si>
  <si>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</si>
  <si>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</si>
  <si>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</si>
  <si>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</si>
  <si>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</si>
  <si>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</si>
  <si>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</si>
  <si>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</si>
  <si>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</si>
  <si>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</si>
  <si>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</si>
  <si>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</si>
  <si>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</si>
  <si>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</si>
  <si>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</si>
  <si>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</si>
  <si>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</si>
  <si>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</si>
  <si>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</si>
  <si>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</si>
  <si>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</si>
  <si>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</si>
  <si>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</si>
  <si>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</si>
  <si>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</si>
  <si>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</si>
  <si>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</si>
  <si>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</si>
  <si>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</si>
  <si>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</si>
  <si>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</si>
  <si>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</si>
  <si>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</si>
  <si>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</si>
  <si>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</si>
  <si>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</si>
  <si>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</si>
  <si>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</si>
  <si>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</si>
  <si>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</si>
  <si>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</si>
  <si>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</si>
  <si>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</si>
  <si>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</si>
  <si>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</si>
  <si>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</si>
  <si>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</si>
  <si>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</si>
  <si>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</si>
  <si>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</si>
  <si>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</si>
  <si>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</si>
  <si>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</si>
  <si>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</si>
  <si>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</si>
  <si>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</si>
  <si>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</si>
  <si>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</si>
  <si>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</si>
  <si>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</si>
  <si>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</si>
  <si>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</si>
  <si>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</si>
  <si>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</si>
  <si>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</si>
  <si>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</si>
  <si>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</si>
  <si>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</si>
  <si>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</si>
  <si>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</si>
  <si>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</si>
  <si>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</si>
  <si>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</si>
  <si>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</si>
  <si>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</si>
  <si>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</si>
  <si>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</si>
  <si>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</si>
  <si>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</si>
  <si>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</si>
  <si>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</si>
  <si>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</si>
  <si>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</si>
  <si>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</si>
  <si>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</si>
  <si>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</si>
  <si>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</si>
  <si>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</si>
  <si>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</si>
  <si>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</si>
  <si>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</si>
  <si>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</si>
  <si>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</si>
  <si>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</si>
  <si>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</si>
  <si>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</si>
  <si>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</si>
  <si>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</si>
  <si>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</si>
  <si>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</si>
  <si>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</si>
  <si>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</si>
  <si>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</si>
  <si>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</si>
  <si>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</si>
  <si>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</si>
  <si>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</si>
  <si>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</si>
  <si>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</si>
  <si>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</si>
  <si>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</si>
  <si>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</si>
  <si>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</si>
  <si>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</si>
  <si>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</si>
  <si>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</si>
  <si>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</si>
  <si>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</si>
  <si>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</si>
  <si>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</si>
  <si>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</si>
  <si>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</si>
  <si>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</si>
  <si>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</si>
  <si>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</si>
  <si>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</si>
  <si>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</si>
  <si>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</si>
  <si>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</si>
  <si>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</si>
  <si>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</si>
  <si>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</si>
  <si>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</si>
  <si>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</si>
  <si>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</si>
  <si>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</si>
  <si>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</si>
  <si>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</si>
  <si>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</si>
  <si>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</si>
  <si>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</si>
  <si>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</si>
  <si>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</si>
  <si>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</si>
  <si>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</si>
  <si>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</si>
  <si>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</si>
  <si>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</si>
  <si>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</si>
  <si>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</si>
  <si>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</si>
  <si>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</si>
  <si>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</si>
  <si>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</si>
  <si>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</si>
  <si>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</si>
  <si>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</si>
  <si>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</si>
  <si>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</si>
  <si>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</si>
  <si>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</si>
  <si>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</si>
  <si>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</si>
  <si>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</si>
  <si>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</si>
  <si>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</si>
  <si>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</si>
  <si>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</si>
  <si>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</si>
  <si>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</si>
  <si>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</si>
  <si>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</si>
  <si>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</si>
  <si>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</si>
  <si>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</si>
  <si>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</si>
  <si>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</si>
  <si>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</si>
  <si>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</si>
  <si>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</si>
  <si>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</si>
  <si>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</si>
  <si>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</si>
  <si>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</si>
  <si>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</si>
  <si>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</si>
  <si>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</si>
  <si>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</si>
  <si>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</si>
  <si>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</si>
  <si>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</si>
  <si>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</si>
  <si>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</si>
  <si>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</si>
  <si>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</si>
  <si>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</si>
  <si>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</si>
  <si>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</si>
  <si>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</si>
  <si>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</si>
  <si>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</si>
  <si>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</si>
  <si>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</si>
  <si>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</si>
  <si>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</si>
  <si>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</si>
  <si>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</si>
  <si>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</si>
  <si>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</si>
  <si>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</si>
  <si>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</si>
  <si>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</si>
  <si>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</si>
  <si>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</si>
  <si>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</si>
  <si>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</si>
  <si>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</si>
  <si>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</si>
  <si>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</si>
  <si>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</si>
  <si>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</si>
  <si>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</si>
  <si>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</si>
  <si>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</si>
  <si>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</si>
  <si>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</si>
  <si>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</si>
  <si>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</si>
  <si>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</si>
  <si>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</si>
  <si>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</si>
  <si>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</si>
  <si>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</si>
  <si>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</si>
  <si>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</si>
  <si>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</si>
  <si>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</si>
  <si>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</si>
  <si>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</si>
  <si>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</si>
  <si>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</si>
  <si>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</si>
  <si>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</si>
  <si>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</si>
  <si>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</si>
  <si>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</si>
  <si>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</si>
  <si>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</si>
  <si>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</si>
  <si>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</si>
  <si>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</si>
  <si>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</si>
  <si>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</si>
  <si>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</si>
  <si>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</si>
  <si>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</si>
  <si>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</si>
  <si>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</si>
  <si>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</si>
  <si>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</si>
  <si>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</si>
  <si>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</si>
  <si>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</si>
  <si>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</si>
  <si>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</si>
  <si>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</si>
  <si>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</si>
  <si>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</si>
  <si>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</si>
  <si>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</si>
  <si>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</si>
  <si>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</si>
  <si>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</si>
  <si>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</si>
  <si>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</si>
  <si>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</si>
  <si>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</si>
  <si>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</si>
  <si>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</si>
  <si>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</si>
  <si>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</si>
  <si>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</si>
  <si>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</si>
  <si>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</si>
  <si>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</si>
  <si>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</si>
  <si>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</si>
  <si>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</si>
  <si>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</si>
  <si>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</si>
  <si>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</si>
  <si>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</si>
  <si>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</si>
  <si>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</si>
  <si>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</si>
  <si>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</si>
  <si>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</si>
  <si>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</si>
  <si>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</si>
  <si>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</si>
  <si>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</si>
  <si>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</si>
  <si>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</si>
  <si>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</si>
  <si>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</si>
  <si>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</si>
  <si>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</si>
  <si>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</si>
  <si>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</si>
  <si>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</si>
  <si>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</si>
  <si>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</si>
  <si>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</si>
  <si>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</si>
  <si>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</si>
  <si>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</si>
  <si>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</si>
  <si>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</si>
  <si>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</si>
  <si>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</si>
  <si>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</si>
  <si>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</si>
  <si>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</si>
  <si>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</si>
  <si>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</si>
  <si>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</si>
  <si>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</si>
  <si>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</si>
  <si>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</si>
  <si>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</si>
  <si>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</si>
  <si>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</si>
  <si>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</si>
  <si>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</si>
  <si>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</si>
  <si>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</si>
  <si>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</si>
  <si>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</si>
  <si>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</si>
  <si>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</si>
  <si>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</si>
  <si>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</si>
  <si>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</si>
  <si>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</si>
  <si>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</si>
  <si>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</si>
  <si>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</si>
  <si>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</si>
  <si>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</si>
  <si>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</si>
  <si>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</si>
  <si>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</si>
  <si>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</si>
  <si>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</si>
  <si>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</si>
  <si>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</si>
  <si>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</si>
  <si>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</si>
  <si>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</si>
  <si>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</si>
  <si>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</si>
  <si>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</si>
  <si>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</si>
  <si>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</si>
  <si>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</si>
  <si>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</si>
  <si>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</si>
  <si>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</si>
  <si>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</si>
  <si>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</si>
  <si>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</si>
  <si>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</si>
  <si>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</si>
  <si>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</si>
  <si>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</si>
  <si>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</si>
  <si>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</si>
  <si>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</si>
  <si>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</si>
  <si>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</si>
  <si>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</si>
  <si>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</si>
  <si>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</si>
  <si>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</si>
  <si>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</si>
  <si>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</si>
  <si>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</si>
  <si>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</si>
  <si>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</si>
  <si>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</si>
  <si>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</si>
  <si>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</si>
  <si>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</si>
  <si>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</si>
  <si>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</si>
  <si>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</si>
  <si>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</si>
  <si>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</si>
  <si>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</si>
  <si>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</si>
  <si>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</si>
  <si>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</si>
  <si>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</si>
  <si>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</si>
  <si>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</si>
  <si>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</si>
  <si>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</si>
  <si>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</si>
  <si>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</si>
  <si>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</si>
  <si>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</si>
  <si>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</si>
  <si>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</si>
  <si>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</si>
  <si>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</si>
  <si>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</si>
  <si>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</si>
  <si>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</si>
  <si>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</si>
  <si>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</si>
  <si>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</si>
  <si>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</si>
  <si>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</si>
  <si>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</si>
  <si>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</si>
  <si>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</si>
  <si>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</si>
  <si>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</si>
  <si>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</si>
  <si>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</si>
  <si>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</si>
  <si>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</si>
  <si>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</si>
  <si>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</si>
  <si>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</si>
  <si>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</si>
  <si>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</si>
  <si>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</si>
  <si>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</si>
  <si>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</si>
  <si>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</si>
  <si>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</si>
  <si>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</si>
  <si>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</si>
  <si>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</si>
  <si>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</si>
  <si>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</si>
  <si>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</si>
  <si>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</si>
  <si>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</si>
  <si>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</si>
  <si>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</si>
  <si>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</si>
  <si>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</si>
  <si>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</si>
  <si>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</si>
  <si>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</si>
  <si>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</si>
  <si>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</si>
  <si>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</si>
  <si>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</si>
  <si>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</si>
  <si>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</si>
  <si>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</si>
  <si>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</si>
  <si>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</si>
  <si>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</si>
  <si>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</si>
  <si>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</si>
  <si>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</si>
  <si>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</si>
  <si>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</si>
  <si>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</si>
  <si>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</si>
  <si>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</si>
  <si>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</si>
  <si>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</si>
  <si>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</si>
  <si>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</si>
  <si>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</si>
  <si>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</si>
  <si>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</si>
  <si>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</si>
  <si>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</si>
  <si>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</si>
  <si>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</si>
  <si>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</si>
  <si>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</si>
  <si>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</si>
  <si>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</si>
  <si>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</si>
  <si>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</si>
  <si>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</si>
  <si>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</si>
  <si>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</si>
  <si>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</si>
  <si>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</si>
  <si>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</si>
  <si>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</si>
  <si>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</si>
  <si>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</si>
  <si>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</si>
  <si>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</si>
  <si>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</si>
  <si>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</si>
  <si>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</si>
  <si>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</si>
  <si>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</si>
  <si>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</si>
  <si>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</si>
  <si>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</si>
  <si>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</si>
  <si>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</si>
  <si>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</si>
  <si>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</si>
  <si>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</si>
  <si>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</si>
  <si>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</si>
  <si>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</si>
  <si>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</si>
  <si>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</si>
  <si>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</si>
  <si>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</si>
  <si>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</si>
  <si>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</si>
  <si>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</si>
  <si>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</si>
  <si>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</si>
  <si>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</si>
  <si>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</si>
  <si>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</si>
  <si>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</si>
  <si>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</si>
  <si>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</si>
  <si>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</si>
  <si>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</si>
  <si>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</si>
  <si>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</si>
  <si>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</si>
  <si>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</si>
  <si>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</si>
  <si>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</si>
  <si>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</si>
  <si>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</si>
  <si>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</si>
  <si>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</si>
  <si>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</si>
  <si>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</si>
  <si>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</si>
  <si>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</si>
  <si>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</si>
  <si>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</si>
  <si>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</si>
  <si>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</si>
  <si>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</si>
  <si>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</si>
  <si>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</si>
  <si>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</si>
  <si>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</si>
  <si>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</si>
  <si>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</si>
  <si>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</si>
  <si>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</si>
  <si>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</si>
  <si>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</si>
  <si>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</si>
  <si>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</si>
  <si>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</si>
  <si>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</si>
  <si>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</si>
  <si>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</si>
  <si>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</si>
  <si>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</si>
  <si>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</si>
  <si>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</si>
  <si>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</si>
  <si>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</si>
  <si>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</si>
  <si>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</si>
  <si>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</si>
  <si>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</si>
  <si>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</si>
  <si>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</si>
  <si>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</si>
  <si>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</si>
  <si>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</si>
  <si>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</si>
  <si>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</si>
  <si>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</si>
  <si>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</si>
  <si>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</si>
  <si>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</si>
  <si>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</si>
  <si>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</si>
  <si>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</si>
  <si>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</si>
  <si>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</si>
  <si>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</si>
  <si>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</si>
  <si>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</si>
  <si>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</si>
  <si>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</si>
  <si>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</si>
  <si>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</si>
  <si>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</si>
  <si>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</si>
  <si>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</si>
  <si>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</si>
  <si>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</si>
  <si>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</si>
  <si>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</si>
  <si>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</si>
  <si>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</si>
  <si>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</si>
  <si>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</si>
  <si>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</si>
  <si>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</si>
  <si>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</si>
  <si>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</si>
  <si>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</si>
  <si>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</si>
  <si>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</si>
  <si>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</si>
  <si>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</si>
  <si>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</si>
  <si>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</si>
  <si>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</si>
  <si>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</si>
  <si>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</si>
  <si>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</si>
  <si>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</si>
  <si>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</si>
  <si>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</si>
  <si>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</si>
  <si>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</si>
  <si>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</si>
  <si>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</si>
  <si>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</si>
  <si>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</si>
  <si>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</si>
  <si>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</si>
  <si>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</si>
  <si>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</si>
  <si>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</si>
  <si>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</si>
  <si>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</si>
  <si>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</si>
  <si>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</si>
  <si>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</si>
  <si>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</si>
  <si>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</si>
  <si>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</si>
  <si>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</si>
  <si>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</si>
  <si>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</si>
  <si>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</si>
  <si>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</si>
  <si>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</si>
  <si>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</si>
  <si>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</si>
  <si>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</si>
  <si>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</si>
  <si>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</si>
  <si>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</si>
  <si>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</si>
  <si>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</si>
  <si>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</si>
  <si>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</si>
  <si>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</si>
  <si>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</si>
  <si>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</si>
  <si>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</si>
  <si>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</si>
  <si>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</si>
  <si>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</si>
  <si>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</si>
  <si>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</si>
  <si>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</si>
  <si>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</si>
  <si>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</si>
  <si>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</si>
  <si>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</si>
  <si>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</si>
  <si>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</si>
  <si>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</si>
  <si>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</si>
  <si>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</si>
  <si>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</si>
  <si>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</si>
  <si>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</si>
  <si>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</si>
  <si>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</si>
  <si>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</si>
  <si>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</si>
  <si>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</si>
  <si>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</si>
  <si>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</si>
  <si>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</si>
  <si>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</si>
  <si>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</si>
  <si>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</si>
  <si>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</si>
  <si>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</si>
  <si>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</si>
  <si>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</si>
  <si>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</si>
  <si>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</si>
  <si>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</si>
  <si>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</si>
  <si>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</si>
  <si>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</si>
  <si>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</si>
  <si>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</si>
  <si>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</si>
  <si>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</si>
  <si>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</si>
  <si>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</si>
  <si>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</si>
  <si>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</si>
  <si>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</si>
  <si>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</si>
  <si>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</si>
  <si>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</si>
  <si>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</si>
  <si>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</si>
  <si>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</si>
  <si>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</si>
  <si>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</si>
  <si>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</si>
  <si>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</si>
  <si>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</si>
  <si>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</si>
  <si>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</si>
  <si>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</si>
  <si>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</si>
  <si>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</si>
  <si>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</si>
  <si>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</si>
  <si>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</si>
  <si>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</si>
  <si>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</si>
  <si>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</si>
  <si>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</si>
  <si>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</si>
  <si>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</si>
  <si>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</si>
  <si>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</si>
  <si>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</si>
  <si>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</si>
  <si>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</si>
  <si>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</si>
  <si>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</si>
  <si>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</si>
  <si>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</si>
  <si>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</si>
  <si>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</si>
  <si>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</si>
  <si>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</si>
  <si>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</si>
  <si>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</si>
  <si>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</si>
  <si>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</si>
  <si>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</si>
  <si>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</si>
  <si>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</si>
  <si>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</si>
  <si>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</si>
  <si>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</si>
  <si>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</si>
  <si>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</si>
  <si>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</si>
  <si>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</si>
  <si>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</si>
  <si>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</si>
  <si>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</si>
  <si>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</si>
  <si>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</si>
  <si>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</si>
  <si>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</si>
  <si>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</si>
  <si>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</si>
  <si>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</si>
  <si>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</si>
  <si>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</si>
  <si>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</si>
  <si>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</si>
  <si>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</si>
  <si>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</si>
  <si>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</si>
  <si>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</si>
  <si>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</si>
  <si>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</si>
  <si>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</si>
  <si>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</si>
  <si>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</si>
  <si>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</si>
  <si>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</si>
  <si>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</si>
  <si>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</si>
  <si>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</si>
  <si>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</si>
  <si>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</si>
  <si>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</si>
  <si>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</si>
  <si>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</si>
  <si>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</si>
  <si>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</si>
  <si>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</si>
  <si>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</si>
  <si>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</si>
  <si>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</si>
  <si>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</si>
  <si>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</si>
  <si>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</si>
  <si>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</si>
  <si>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</si>
  <si>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</si>
  <si>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</si>
  <si>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</si>
  <si>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</si>
  <si>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</si>
  <si>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</si>
  <si>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</si>
  <si>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</si>
  <si>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</si>
  <si>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</si>
  <si>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</si>
  <si>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</si>
  <si>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</si>
  <si>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</si>
  <si>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</si>
  <si>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</si>
  <si>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</si>
  <si>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</si>
  <si>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</si>
  <si>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</si>
  <si>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</si>
  <si>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</si>
  <si>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</si>
  <si>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</si>
  <si>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</si>
  <si>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</si>
  <si>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</si>
  <si>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</si>
  <si>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</si>
  <si>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</si>
  <si>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</si>
  <si>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</si>
  <si>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</si>
  <si>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</si>
  <si>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</si>
  <si>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</si>
  <si>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</si>
  <si>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</si>
  <si>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</si>
  <si>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</si>
  <si>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</si>
  <si>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</si>
  <si>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</si>
  <si>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</si>
  <si>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</si>
  <si>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</si>
  <si>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</si>
  <si>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</si>
  <si>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</si>
  <si>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</si>
  <si>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</si>
  <si>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</si>
  <si>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</si>
  <si>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</si>
  <si>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</si>
  <si>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</si>
  <si>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</si>
  <si>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</si>
  <si>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</si>
  <si>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</si>
  <si>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</si>
  <si>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</si>
  <si>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</si>
  <si>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</si>
  <si>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</si>
  <si>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</si>
  <si>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</si>
  <si>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</si>
  <si>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</si>
  <si>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</si>
  <si>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</si>
  <si>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</si>
  <si>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</si>
  <si>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</si>
  <si>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</si>
  <si>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</si>
  <si>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</si>
  <si>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</si>
  <si>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</si>
  <si>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</si>
  <si>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</si>
  <si>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</si>
  <si>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</si>
  <si>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</si>
  <si>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</si>
  <si>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</si>
  <si>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</si>
  <si>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</si>
  <si>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</si>
  <si>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</si>
  <si>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</si>
  <si>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</si>
  <si>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</si>
  <si>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</si>
  <si>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</si>
  <si>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</si>
  <si>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</si>
  <si>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</si>
  <si>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</si>
  <si>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</si>
  <si>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</si>
  <si>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</si>
  <si>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</si>
  <si>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</si>
  <si>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</si>
  <si>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</si>
  <si>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</si>
  <si>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</si>
  <si>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</si>
  <si>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</si>
  <si>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</si>
  <si>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</si>
  <si>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</si>
  <si>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</si>
  <si>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</si>
  <si>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</si>
  <si>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</si>
  <si>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</si>
  <si>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</si>
  <si>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</si>
  <si>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</si>
  <si>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</si>
  <si>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</si>
  <si>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</si>
  <si>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</si>
  <si>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</si>
  <si>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</si>
  <si>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</si>
  <si>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</si>
  <si>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</si>
  <si>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</si>
  <si>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</si>
  <si>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</si>
  <si>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</si>
  <si>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</si>
  <si>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</si>
  <si>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</si>
  <si>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</si>
  <si>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</si>
  <si>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</si>
  <si>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</si>
  <si>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</si>
  <si>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</si>
  <si>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</si>
  <si>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</si>
  <si>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</si>
  <si>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</si>
  <si>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</si>
  <si>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</si>
  <si>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</si>
  <si>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</si>
  <si>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</si>
  <si>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</si>
  <si>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</si>
  <si>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</si>
  <si>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</si>
  <si>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</si>
  <si>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</si>
  <si>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</si>
  <si>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</si>
  <si>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</si>
  <si>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</si>
  <si>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</si>
  <si>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</si>
  <si>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</si>
  <si>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</si>
  <si>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</si>
  <si>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</si>
  <si>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</si>
  <si>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</si>
  <si>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</si>
  <si>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</si>
  <si>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</si>
  <si>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</si>
  <si>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</si>
  <si>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</si>
  <si>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</si>
  <si>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</si>
  <si>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</si>
  <si>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</si>
  <si>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</si>
  <si>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</si>
  <si>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</si>
  <si>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</si>
  <si>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</si>
  <si>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</si>
  <si>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</si>
  <si>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</si>
  <si>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</si>
  <si>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</si>
  <si>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</si>
  <si>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</si>
  <si>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</si>
  <si>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</si>
  <si>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</si>
  <si>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</si>
  <si>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</si>
  <si>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</si>
  <si>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</si>
  <si>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</si>
  <si>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</si>
  <si>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</si>
  <si>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</si>
  <si>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</si>
  <si>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</si>
  <si>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</si>
  <si>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</si>
  <si>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</si>
  <si>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</si>
  <si>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</si>
  <si>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</si>
  <si>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</si>
  <si>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</si>
  <si>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</si>
  <si>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</si>
  <si>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</si>
  <si>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</si>
  <si>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</si>
  <si>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</si>
  <si>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</si>
  <si>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</si>
  <si>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</si>
  <si>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</si>
  <si>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</si>
  <si>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</si>
  <si>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</si>
  <si>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</si>
  <si>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</si>
  <si>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</si>
  <si>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</si>
  <si>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</si>
  <si>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</si>
  <si>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</si>
  <si>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</si>
  <si>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</si>
  <si>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</si>
  <si>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</si>
  <si>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</si>
  <si>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</si>
  <si>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</si>
  <si>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</si>
  <si>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</si>
  <si>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</si>
  <si>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</si>
  <si>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</si>
  <si>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</si>
  <si>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</si>
  <si>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</si>
  <si>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</si>
  <si>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</si>
  <si>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</si>
  <si>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</si>
  <si>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</si>
  <si>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</si>
  <si>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</si>
  <si>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</si>
  <si>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</si>
  <si>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</si>
  <si>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</si>
  <si>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</si>
  <si>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</si>
  <si>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</si>
  <si>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</si>
  <si>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</si>
  <si>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</si>
  <si>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</si>
  <si>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</si>
  <si>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</si>
  <si>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</si>
  <si>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</si>
  <si>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</si>
  <si>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</si>
  <si>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</si>
  <si>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</si>
  <si>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</si>
  <si>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</si>
  <si>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</si>
  <si>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</si>
  <si>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</si>
  <si>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</si>
  <si>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</si>
  <si>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</si>
  <si>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</si>
  <si>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</si>
  <si>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</si>
  <si>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</si>
  <si>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</si>
  <si>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</si>
  <si>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</si>
  <si>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</si>
  <si>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</si>
  <si>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</si>
  <si>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</si>
  <si>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</si>
  <si>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</si>
  <si>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</si>
  <si>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</si>
  <si>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</si>
  <si>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</si>
  <si>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</si>
  <si>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</si>
  <si>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</si>
  <si>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</si>
  <si>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</si>
  <si>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</si>
  <si>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</si>
  <si>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</si>
  <si>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</si>
  <si>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</si>
  <si>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</si>
  <si>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</si>
  <si>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</si>
  <si>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</si>
  <si>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</si>
  <si>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</si>
  <si>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</si>
  <si>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</si>
  <si>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</si>
  <si>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</si>
  <si>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</si>
  <si>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</si>
  <si>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</si>
  <si>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</si>
  <si>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</si>
  <si>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</si>
  <si>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</si>
  <si>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</si>
  <si>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</si>
  <si>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</si>
  <si>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</si>
  <si>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</si>
  <si>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</si>
  <si>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</si>
  <si>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</si>
  <si>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</si>
  <si>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</si>
  <si>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</si>
  <si>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</si>
  <si>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</si>
  <si>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</si>
  <si>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</si>
  <si>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</si>
  <si>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</si>
  <si>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</si>
  <si>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</si>
  <si>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</si>
  <si>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</si>
  <si>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</si>
  <si>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</si>
  <si>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</si>
  <si>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</si>
  <si>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</si>
  <si>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</si>
  <si>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</si>
  <si>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</si>
  <si>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</si>
  <si>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</si>
  <si>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</si>
  <si>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</si>
  <si>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</si>
  <si>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</si>
  <si>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</si>
  <si>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</si>
  <si>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</si>
  <si>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</si>
  <si>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</si>
  <si>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</si>
  <si>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</si>
  <si>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</si>
  <si>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</si>
  <si>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</si>
  <si>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</si>
  <si>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</si>
  <si>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</si>
  <si>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</si>
  <si>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</si>
  <si>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</si>
  <si>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</si>
  <si>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</si>
  <si>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</si>
  <si>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</si>
  <si>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</si>
  <si>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</si>
  <si>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</si>
  <si>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</si>
  <si>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</si>
  <si>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</si>
  <si>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</si>
  <si>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</si>
  <si>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</si>
  <si>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</si>
  <si>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</si>
  <si>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</si>
  <si>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</si>
  <si>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</si>
  <si>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</si>
  <si>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</si>
  <si>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</si>
  <si>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</si>
  <si>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</si>
  <si>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</si>
  <si>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</si>
  <si>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</si>
  <si>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</si>
  <si>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</si>
  <si>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</si>
  <si>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</si>
  <si>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</si>
  <si>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</si>
  <si>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</si>
  <si>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</si>
  <si>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</si>
  <si>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</si>
  <si>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</si>
  <si>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</si>
  <si>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</si>
  <si>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</si>
  <si>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</si>
  <si>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</si>
  <si>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</si>
  <si>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</si>
  <si>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</si>
  <si>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</si>
  <si>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</si>
  <si>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</si>
  <si>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</si>
  <si>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</si>
  <si>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</si>
  <si>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</si>
  <si>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</si>
  <si>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</si>
  <si>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</si>
  <si>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</si>
  <si>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</si>
  <si>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</si>
  <si>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</si>
  <si>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</si>
  <si>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</si>
  <si>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</si>
  <si>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</si>
  <si>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</si>
  <si>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</si>
  <si>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</si>
  <si>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</si>
  <si>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</si>
  <si>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</si>
  <si>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</si>
  <si>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</si>
  <si>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</si>
  <si>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</si>
  <si>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</si>
  <si>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</si>
  <si>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</si>
  <si>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</si>
  <si>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</si>
  <si>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</si>
  <si>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</si>
  <si>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</si>
  <si>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</si>
  <si>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</si>
  <si>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</si>
  <si>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</si>
  <si>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</si>
  <si>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</si>
  <si>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</si>
  <si>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</si>
  <si>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</si>
  <si>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</si>
  <si>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</si>
  <si>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</si>
  <si>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</si>
  <si>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</si>
  <si>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</si>
  <si>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</si>
  <si>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</si>
  <si>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</si>
  <si>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</si>
  <si>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</si>
  <si>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</si>
  <si>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</si>
  <si>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</si>
  <si>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</si>
  <si>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</si>
  <si>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</si>
  <si>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</si>
  <si>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</si>
  <si>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</si>
  <si>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</si>
  <si>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</si>
  <si>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</si>
  <si>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</si>
  <si>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</si>
  <si>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</si>
  <si>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</si>
  <si>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</si>
  <si>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</si>
  <si>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</si>
  <si>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</si>
  <si>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</si>
  <si>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</si>
  <si>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</si>
  <si>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</si>
  <si>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</si>
  <si>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</si>
  <si>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</si>
  <si>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</si>
  <si>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</si>
  <si>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</si>
  <si>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</si>
  <si>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</si>
  <si>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</si>
  <si>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</si>
  <si>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</si>
  <si>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</si>
  <si>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</si>
  <si>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</si>
  <si>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</si>
  <si>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</si>
  <si>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</si>
  <si>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</si>
  <si>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</si>
  <si>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</si>
  <si>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</si>
  <si>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</si>
  <si>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</si>
  <si>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</si>
  <si>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</si>
  <si>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</si>
  <si>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</si>
  <si>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</si>
  <si>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</si>
  <si>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</si>
  <si>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</si>
  <si>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</si>
  <si>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</si>
  <si>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</si>
  <si>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</si>
  <si>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</si>
  <si>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</si>
  <si>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</si>
  <si>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</si>
  <si>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</si>
  <si>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</si>
  <si>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</si>
  <si>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</si>
  <si>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</si>
  <si>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</si>
  <si>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</si>
  <si>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</si>
  <si>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</si>
  <si>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</si>
  <si>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</si>
  <si>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</si>
  <si>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</si>
  <si>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</si>
  <si>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</si>
  <si>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</si>
  <si>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</si>
  <si>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</si>
  <si>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</si>
  <si>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</si>
  <si>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</si>
  <si>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</si>
  <si>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</si>
  <si>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</si>
  <si>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</si>
  <si>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</si>
  <si>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</si>
  <si>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</si>
  <si>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</si>
  <si>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</si>
  <si>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</si>
  <si>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</si>
  <si>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</si>
  <si>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</si>
  <si>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</si>
  <si>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</si>
  <si>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</si>
  <si>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</si>
  <si>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</si>
  <si>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</si>
  <si>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</si>
  <si>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</si>
  <si>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</si>
  <si>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</si>
  <si>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</si>
  <si>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</si>
  <si>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</si>
  <si>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</si>
  <si>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</si>
  <si>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</si>
  <si>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</si>
  <si>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</si>
  <si>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</si>
  <si>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</si>
  <si>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</si>
  <si>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</si>
  <si>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</si>
  <si>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</si>
  <si>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</si>
  <si>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</si>
  <si>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</si>
  <si>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</si>
  <si>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</si>
  <si>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</si>
  <si>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</si>
  <si>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</si>
  <si>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</si>
  <si>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</si>
  <si>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</si>
  <si>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</si>
  <si>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</si>
  <si>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</si>
  <si>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</si>
  <si>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</si>
  <si>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</si>
  <si>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</si>
  <si>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</si>
  <si>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</si>
  <si>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</si>
  <si>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</si>
  <si>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</si>
  <si>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</si>
  <si>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</si>
  <si>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</si>
  <si>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</si>
  <si>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</si>
  <si>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</si>
  <si>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</si>
  <si>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</si>
  <si>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</si>
  <si>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</si>
  <si>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</si>
  <si>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</si>
  <si>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</si>
  <si>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</si>
  <si>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</si>
  <si>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</si>
  <si>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</si>
  <si>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</si>
  <si>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</si>
  <si>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</si>
  <si>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</si>
  <si>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</si>
  <si>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</si>
  <si>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</si>
  <si>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</si>
  <si>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</si>
  <si>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</si>
  <si>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</si>
  <si>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</si>
  <si>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</si>
  <si>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</si>
  <si>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</si>
  <si>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</si>
  <si>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</si>
  <si>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</si>
  <si>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</si>
  <si>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</si>
  <si>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</si>
  <si>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</si>
  <si>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</si>
  <si>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</si>
  <si>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</si>
  <si>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</si>
  <si>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</si>
  <si>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</si>
  <si>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</si>
  <si>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</si>
  <si>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</si>
  <si>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</si>
  <si>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</si>
  <si>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</si>
  <si>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</si>
  <si>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</si>
  <si>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</si>
  <si>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</si>
  <si>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</si>
  <si>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</si>
  <si>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</si>
  <si>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</si>
  <si>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</si>
  <si>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</si>
  <si>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</si>
  <si>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</si>
  <si>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</si>
  <si>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</si>
  <si>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</si>
  <si>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</si>
  <si>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</si>
  <si>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</si>
  <si>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</si>
  <si>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</si>
  <si>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</si>
  <si>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</si>
  <si>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</si>
  <si>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</si>
  <si>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</si>
  <si>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</si>
  <si>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</si>
  <si>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</si>
  <si>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</si>
  <si>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</si>
  <si>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</si>
  <si>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</si>
  <si>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</si>
  <si>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</si>
  <si>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</si>
  <si>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</si>
  <si>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</si>
  <si>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</si>
  <si>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</si>
  <si>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</si>
  <si>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</si>
  <si>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</si>
  <si>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</si>
  <si>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</si>
  <si>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</si>
  <si>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</si>
  <si>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</si>
  <si>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</si>
  <si>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</si>
  <si>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</si>
  <si>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</si>
  <si>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</si>
  <si>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</si>
  <si>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</si>
  <si>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</si>
  <si>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</si>
  <si>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</si>
  <si>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</si>
  <si>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</si>
  <si>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</si>
  <si>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</si>
  <si>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</si>
  <si>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</si>
  <si>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</si>
  <si>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</si>
  <si>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</si>
  <si>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</si>
  <si>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</si>
  <si>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</si>
  <si>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</si>
  <si>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</si>
  <si>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</si>
  <si>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</si>
  <si>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</si>
  <si>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</si>
  <si>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</si>
  <si>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</si>
  <si>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</si>
  <si>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</si>
  <si>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</si>
  <si>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</si>
  <si>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</si>
  <si>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</si>
  <si>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</si>
  <si>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</si>
  <si>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</si>
  <si>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</si>
  <si>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</si>
  <si>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</si>
  <si>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</si>
  <si>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</si>
  <si>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</si>
  <si>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</si>
  <si>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</si>
  <si>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</si>
  <si>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</si>
  <si>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</si>
  <si>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</si>
  <si>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</si>
  <si>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</si>
  <si>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</si>
  <si>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</si>
  <si>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</si>
  <si>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</si>
  <si>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</si>
  <si>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</si>
  <si>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</si>
  <si>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</si>
  <si>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</si>
  <si>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</si>
  <si>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</si>
  <si>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</si>
  <si>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</si>
  <si>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</si>
  <si>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</si>
  <si>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</si>
  <si>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</si>
  <si>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</si>
  <si>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</si>
  <si>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</si>
  <si>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</si>
  <si>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</si>
  <si>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</si>
  <si>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</si>
  <si>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</si>
  <si>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</si>
  <si>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</si>
  <si>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</si>
  <si>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</si>
  <si>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</si>
  <si>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</si>
  <si>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</si>
  <si>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</si>
  <si>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</si>
  <si>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</si>
  <si>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</si>
  <si>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</si>
  <si>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</si>
  <si>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</si>
  <si>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</si>
  <si>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</si>
  <si>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</si>
  <si>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</si>
  <si>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</si>
  <si>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</si>
  <si>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</si>
  <si>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</si>
  <si>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</si>
  <si>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</si>
  <si>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</si>
  <si>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</si>
  <si>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</si>
  <si>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</si>
  <si>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</si>
  <si>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</si>
  <si>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</si>
  <si>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</si>
  <si>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</si>
  <si>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</si>
  <si>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</si>
  <si>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</si>
  <si>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</si>
  <si>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</si>
  <si>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</si>
  <si>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</si>
  <si>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</si>
  <si>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</si>
  <si>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</si>
  <si>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</si>
  <si>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</si>
  <si>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</si>
  <si>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</si>
  <si>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</si>
  <si>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</si>
  <si>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</si>
  <si>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</si>
  <si>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</si>
  <si>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</si>
  <si>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</si>
  <si>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</si>
  <si>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</si>
  <si>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</si>
  <si>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</si>
  <si>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</si>
  <si>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</si>
  <si>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</si>
  <si>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</si>
  <si>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</si>
  <si>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</si>
  <si>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</si>
  <si>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</si>
  <si>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</si>
  <si>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</si>
  <si>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</si>
  <si>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</si>
  <si>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</si>
  <si>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</si>
  <si>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</si>
  <si>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</si>
  <si>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</si>
  <si>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</si>
  <si>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</si>
  <si>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</si>
  <si>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</si>
  <si>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</si>
  <si>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</si>
  <si>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</si>
  <si>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</si>
  <si>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</si>
  <si>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</si>
  <si>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</si>
  <si>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</si>
  <si>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</si>
  <si>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</si>
  <si>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</si>
  <si>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</si>
  <si>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</si>
  <si>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</si>
  <si>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</si>
  <si>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</si>
  <si>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</si>
  <si>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</si>
  <si>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</si>
  <si>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</si>
  <si>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</si>
  <si>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</si>
  <si>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</si>
  <si>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</si>
  <si>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</si>
  <si>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</si>
  <si>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</si>
  <si>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</si>
  <si>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</si>
  <si>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</si>
  <si>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</si>
  <si>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</si>
  <si>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</si>
  <si>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</si>
  <si>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</si>
  <si>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</si>
  <si>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</si>
  <si>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</si>
  <si>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</si>
  <si>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</si>
  <si>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</si>
  <si>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</si>
  <si>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</si>
  <si>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</si>
  <si>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</si>
  <si>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</si>
  <si>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</si>
  <si>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</si>
  <si>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</si>
  <si>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</si>
  <si>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</si>
  <si>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</si>
  <si>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</si>
  <si>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</si>
  <si>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</si>
  <si>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</si>
  <si>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</si>
  <si>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</si>
  <si>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</si>
  <si>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</si>
  <si>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</si>
  <si>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</si>
  <si>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</si>
  <si>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</si>
  <si>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</si>
  <si>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</si>
  <si>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</si>
  <si>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</si>
  <si>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</si>
  <si>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</si>
  <si>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</si>
  <si>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</si>
  <si>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</si>
  <si>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</si>
  <si>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</si>
  <si>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</si>
  <si>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</si>
  <si>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</si>
  <si>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</si>
  <si>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</si>
  <si>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</si>
  <si>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</si>
  <si>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</si>
  <si>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</si>
  <si>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</si>
  <si>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</si>
  <si>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</si>
  <si>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</si>
  <si>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</si>
  <si>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</si>
  <si>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</si>
  <si>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</si>
  <si>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</si>
  <si>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</si>
  <si>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</si>
  <si>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</si>
  <si>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</si>
  <si>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</si>
  <si>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</si>
  <si>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</si>
  <si>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</si>
  <si>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</si>
  <si>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</si>
  <si>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</si>
  <si>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</si>
  <si>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</si>
  <si>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</si>
  <si>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</si>
  <si>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</si>
  <si>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</si>
  <si>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</si>
  <si>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</si>
  <si>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</si>
  <si>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</si>
  <si>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</si>
  <si>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</si>
  <si>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</si>
  <si>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</si>
  <si>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</si>
  <si>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</si>
  <si>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</si>
  <si>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</si>
  <si>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</si>
  <si>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</si>
  <si>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</si>
  <si>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</si>
  <si>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</si>
  <si>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</si>
  <si>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</si>
  <si>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</si>
  <si>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</si>
  <si>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</si>
  <si>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</si>
  <si>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</si>
  <si>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</si>
  <si>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</si>
  <si>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</si>
  <si>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</si>
  <si>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</si>
  <si>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</si>
  <si>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</si>
  <si>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</si>
  <si>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</si>
  <si>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</si>
  <si>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</si>
  <si>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</si>
  <si>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</si>
  <si>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</si>
  <si>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</si>
  <si>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</si>
  <si>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</si>
  <si>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</si>
  <si>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</si>
  <si>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</si>
  <si>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</si>
  <si>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</si>
  <si>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</si>
  <si>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</si>
  <si>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</si>
  <si>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</si>
  <si>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</si>
  <si>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</si>
  <si>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</si>
  <si>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</si>
  <si>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</si>
  <si>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</si>
  <si>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</si>
  <si>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</si>
  <si>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</si>
  <si>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</si>
  <si>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</si>
  <si>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</si>
  <si>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</si>
  <si>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</si>
  <si>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</si>
  <si>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</si>
  <si>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</si>
  <si>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</si>
  <si>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</si>
  <si>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</si>
  <si>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</si>
  <si>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</si>
  <si>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</si>
  <si>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</si>
  <si>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</si>
  <si>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</si>
  <si>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</si>
  <si>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</si>
  <si>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</si>
  <si>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</si>
  <si>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</si>
  <si>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</si>
  <si>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</si>
  <si>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</si>
  <si>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</si>
  <si>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</si>
  <si>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</si>
  <si>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</si>
  <si>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</si>
  <si>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</si>
  <si>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</si>
  <si>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</si>
  <si>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</si>
  <si>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</si>
  <si>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</si>
  <si>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</si>
  <si>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</si>
  <si>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</si>
  <si>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</si>
  <si>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</si>
  <si>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</si>
  <si>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</si>
  <si>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</si>
  <si>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</si>
  <si>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</si>
  <si>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</si>
  <si>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</si>
  <si>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</si>
  <si>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</si>
  <si>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</si>
  <si>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</si>
  <si>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</si>
  <si>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</si>
  <si>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</si>
  <si>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</si>
  <si>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</si>
  <si>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</si>
  <si>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</si>
  <si>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</si>
  <si>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</si>
  <si>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</si>
  <si>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</si>
  <si>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</si>
  <si>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</si>
  <si>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</si>
  <si>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</si>
  <si>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</si>
  <si>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</si>
  <si>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</si>
  <si>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</si>
  <si>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</si>
  <si>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</si>
  <si>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</si>
  <si>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</si>
  <si>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</si>
  <si>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</si>
  <si>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</si>
  <si>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</si>
  <si>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</si>
  <si>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</si>
  <si>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</si>
  <si>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</si>
  <si>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</si>
  <si>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</si>
  <si>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</si>
  <si>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</si>
  <si>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</si>
  <si>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</si>
  <si>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</si>
  <si>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</si>
  <si>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</si>
  <si>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</si>
  <si>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</si>
  <si>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</si>
  <si>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</si>
  <si>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</si>
  <si>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</si>
  <si>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</si>
  <si>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</si>
  <si>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</si>
  <si>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</si>
  <si>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</si>
  <si>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</si>
  <si>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</si>
  <si>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</si>
  <si>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</si>
  <si>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</si>
  <si>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</si>
  <si>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</si>
  <si>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</si>
  <si>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</si>
  <si>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</si>
  <si>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</si>
  <si>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</si>
  <si>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</si>
  <si>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</si>
  <si>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</si>
  <si>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</si>
  <si>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</si>
  <si>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</si>
  <si>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</si>
  <si>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</si>
  <si>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</si>
  <si>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</si>
  <si>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</si>
  <si>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</si>
  <si>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</si>
  <si>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</si>
  <si>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</si>
  <si>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</si>
  <si>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</si>
  <si>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</si>
  <si>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</si>
  <si>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</si>
  <si>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</si>
  <si>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</si>
  <si>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</si>
  <si>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</si>
  <si>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</si>
  <si>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</si>
  <si>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</si>
  <si>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</si>
  <si>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</si>
  <si>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</si>
  <si>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</si>
  <si>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</si>
  <si>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</si>
  <si>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</si>
  <si>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</si>
  <si>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</si>
  <si>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</si>
  <si>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</si>
  <si>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</si>
  <si>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</si>
  <si>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</si>
  <si>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</si>
  <si>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</si>
  <si>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</si>
  <si>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</si>
  <si>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</si>
  <si>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</si>
  <si>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</si>
  <si>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</si>
  <si>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</si>
  <si>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</si>
  <si>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</si>
  <si>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</si>
  <si>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</si>
  <si>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</si>
  <si>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</si>
  <si>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</si>
  <si>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</si>
  <si>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</si>
  <si>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</si>
  <si>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</si>
  <si>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</si>
  <si>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</si>
  <si>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</si>
  <si>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</si>
  <si>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</si>
  <si>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</si>
  <si>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</si>
  <si>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</si>
  <si>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</si>
  <si>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</si>
  <si>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</si>
  <si>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</si>
  <si>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</si>
  <si>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</si>
  <si>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</si>
  <si>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</si>
  <si>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</si>
  <si>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</si>
  <si>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</si>
  <si>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</si>
  <si>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</si>
  <si>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</si>
  <si>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</si>
  <si>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</si>
  <si>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</si>
  <si>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</si>
  <si>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</si>
  <si>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</si>
  <si>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</si>
  <si>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</si>
  <si>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</si>
  <si>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</si>
  <si>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</si>
  <si>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</si>
  <si>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</si>
  <si>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</si>
  <si>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</si>
  <si>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</si>
  <si>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</si>
  <si>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</si>
  <si>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</si>
  <si>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</si>
  <si>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</si>
  <si>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</si>
  <si>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</si>
  <si>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</si>
  <si>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</si>
  <si>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</si>
  <si>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</si>
  <si>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</si>
  <si>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</si>
  <si>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</si>
  <si>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</si>
  <si>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</si>
  <si>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</si>
  <si>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</si>
  <si>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</si>
  <si>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</si>
  <si>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</si>
  <si>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</si>
  <si>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</si>
  <si>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</si>
  <si>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</si>
  <si>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</si>
  <si>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</si>
  <si>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</si>
  <si>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</si>
  <si>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</si>
  <si>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</si>
  <si>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</si>
  <si>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</si>
  <si>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</si>
  <si>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</si>
  <si>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</si>
  <si>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</si>
  <si>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</si>
  <si>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</si>
  <si>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</si>
  <si>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</si>
  <si>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</si>
  <si>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</si>
  <si>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</si>
  <si>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</si>
  <si>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</si>
  <si>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</si>
  <si>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</si>
  <si>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</si>
  <si>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</si>
  <si>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</si>
  <si>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</si>
  <si>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</si>
  <si>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</si>
  <si>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</si>
  <si>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</si>
  <si>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</si>
  <si>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</si>
  <si>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</si>
  <si>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</si>
  <si>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</si>
  <si>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</si>
  <si>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</si>
  <si>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</si>
  <si>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</si>
  <si>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</si>
  <si>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</si>
  <si>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</si>
  <si>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</si>
  <si>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</si>
  <si>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</si>
  <si>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</si>
  <si>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</si>
  <si>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</si>
  <si>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</si>
  <si>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</si>
  <si>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</si>
  <si>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</si>
  <si>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</si>
  <si>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</si>
  <si>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</si>
  <si>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</si>
  <si>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</si>
  <si>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</si>
  <si>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</si>
  <si>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</si>
  <si>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</si>
  <si>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</si>
  <si>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</si>
  <si>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</si>
  <si>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</si>
  <si>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</si>
  <si>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</si>
  <si>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</si>
  <si>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</si>
  <si>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</si>
  <si>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</si>
  <si>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</si>
  <si>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</si>
  <si>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</si>
  <si>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</si>
  <si>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</si>
  <si>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</si>
  <si>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</si>
  <si>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</si>
  <si>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</si>
  <si>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</si>
  <si>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</si>
  <si>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</si>
  <si>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</si>
  <si>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</si>
  <si>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</si>
  <si>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</si>
  <si>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</si>
  <si>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</si>
  <si>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</si>
  <si>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</si>
  <si>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</si>
  <si>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</si>
  <si>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</si>
  <si>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</si>
  <si>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</si>
  <si>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</si>
  <si>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</si>
  <si>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</si>
  <si>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</si>
  <si>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</si>
  <si>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</si>
  <si>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</si>
  <si>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</si>
  <si>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</si>
  <si>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</si>
  <si>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</si>
  <si>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</si>
  <si>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</si>
  <si>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</si>
  <si>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</si>
  <si>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</si>
  <si>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</si>
  <si>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</si>
  <si>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</si>
  <si>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</si>
  <si>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</si>
  <si>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</si>
  <si>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</si>
  <si>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</si>
  <si>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</si>
  <si>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</si>
  <si>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</si>
  <si>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</si>
  <si>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</si>
  <si>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</si>
  <si>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</si>
  <si>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</si>
  <si>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</si>
  <si>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</si>
  <si>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</si>
  <si>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</si>
  <si>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</si>
  <si>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</si>
  <si>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</si>
  <si>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</si>
  <si>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</si>
  <si>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</si>
  <si>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</si>
  <si>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</si>
  <si>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</si>
  <si>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</si>
  <si>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</si>
  <si>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</si>
  <si>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</si>
  <si>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</si>
  <si>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</si>
  <si>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</si>
  <si>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</si>
  <si>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</si>
  <si>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</si>
  <si>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</si>
  <si>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</si>
  <si>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</si>
  <si>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</si>
  <si>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</si>
  <si>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</si>
  <si>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</si>
  <si>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</si>
  <si>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</si>
  <si>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</si>
  <si>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</si>
  <si>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</si>
  <si>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</si>
  <si>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</si>
  <si>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</si>
  <si>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</si>
  <si>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</si>
  <si>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</si>
  <si>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</si>
  <si>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</si>
  <si>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</si>
  <si>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</si>
  <si>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</si>
  <si>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</si>
  <si>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</si>
  <si>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</si>
  <si>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</si>
  <si>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</si>
  <si>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</si>
  <si>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</si>
  <si>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</si>
  <si>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</si>
  <si>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</si>
  <si>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</si>
  <si>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</si>
  <si>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</si>
  <si>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</si>
  <si>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</si>
  <si>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</si>
  <si>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</si>
  <si>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</si>
  <si>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</si>
  <si>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</si>
  <si>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</si>
  <si>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</si>
  <si>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</si>
  <si>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</si>
  <si>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</si>
  <si>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</si>
  <si>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</si>
  <si>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</si>
  <si>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</si>
  <si>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</si>
  <si>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</si>
  <si>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</si>
  <si>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</si>
  <si>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</si>
  <si>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</si>
  <si>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</si>
  <si>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</si>
  <si>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</si>
  <si>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</si>
  <si>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</si>
  <si>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</si>
  <si>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</si>
  <si>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</si>
  <si>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</si>
  <si>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</si>
  <si>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</si>
  <si>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</si>
  <si>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</si>
  <si>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</si>
  <si>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</si>
  <si>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</si>
  <si>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</si>
  <si>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</si>
  <si>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</si>
  <si>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</si>
  <si>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</si>
  <si>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</si>
  <si>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</si>
  <si>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</si>
  <si>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</si>
  <si>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</si>
  <si>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</si>
  <si>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</si>
  <si>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</si>
  <si>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</si>
  <si>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</si>
  <si>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</si>
  <si>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</si>
  <si>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</si>
  <si>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</si>
  <si>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</si>
  <si>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</si>
  <si>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</si>
  <si>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</si>
  <si>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</si>
  <si>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</si>
  <si>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</si>
  <si>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</si>
  <si>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</si>
  <si>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</si>
  <si>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</si>
  <si>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</si>
  <si>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</si>
  <si>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</si>
  <si>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</si>
  <si>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</si>
  <si>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</si>
  <si>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</si>
  <si>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</si>
  <si>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</si>
  <si>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</si>
  <si>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</si>
  <si>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</si>
  <si>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</si>
  <si>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</si>
  <si>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</si>
  <si>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</si>
  <si>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</si>
  <si>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</si>
  <si>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</si>
  <si>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</si>
  <si>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</si>
  <si>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</si>
  <si>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</si>
  <si>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</si>
  <si>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</si>
  <si>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</si>
  <si>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</si>
  <si>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</si>
  <si>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</si>
  <si>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</si>
  <si>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</si>
  <si>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</si>
  <si>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</si>
  <si>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</si>
  <si>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</si>
  <si>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</si>
  <si>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</si>
  <si>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</si>
  <si>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</si>
  <si>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</si>
  <si>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</si>
  <si>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</si>
  <si>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</si>
  <si>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</si>
  <si>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</si>
  <si>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</si>
  <si>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</si>
  <si>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</si>
  <si>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</si>
  <si>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</si>
  <si>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</si>
  <si>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</si>
  <si>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</si>
  <si>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</si>
  <si>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</si>
  <si>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</si>
  <si>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</si>
  <si>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</si>
  <si>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</si>
  <si>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</si>
  <si>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</si>
  <si>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</si>
  <si>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</si>
  <si>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</si>
  <si>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</si>
  <si>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</si>
  <si>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</si>
  <si>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</si>
  <si>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</si>
  <si>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</si>
  <si>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</si>
  <si>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</si>
  <si>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</si>
  <si>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</si>
  <si>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</si>
  <si>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</si>
  <si>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</si>
  <si>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</si>
  <si>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</si>
  <si>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</si>
  <si>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</si>
  <si>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</si>
  <si>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</si>
  <si>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</si>
  <si>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</si>
  <si>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</si>
  <si>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</si>
  <si>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</si>
  <si>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</si>
  <si>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</si>
  <si>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</si>
  <si>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</si>
  <si>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</si>
  <si>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</si>
  <si>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</si>
  <si>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</si>
  <si>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</si>
  <si>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</si>
  <si>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</si>
  <si>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</si>
  <si>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</si>
  <si>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</si>
  <si>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</si>
  <si>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</si>
  <si>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</si>
  <si>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</si>
  <si>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</si>
  <si>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</si>
  <si>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</si>
  <si>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</si>
  <si>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</si>
  <si>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</si>
  <si>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</si>
  <si>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</si>
  <si>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</si>
  <si>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</si>
  <si>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</si>
  <si>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</si>
  <si>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</si>
  <si>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</si>
  <si>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</si>
  <si>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</si>
  <si>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</si>
  <si>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</si>
  <si>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</si>
  <si>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</si>
  <si>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</si>
  <si>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</si>
  <si>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</si>
  <si>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</si>
  <si>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</si>
  <si>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</si>
  <si>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</si>
  <si>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</si>
  <si>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</si>
  <si>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</si>
  <si>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</si>
  <si>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</si>
  <si>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</si>
  <si>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</si>
  <si>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</si>
  <si>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</si>
  <si>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</si>
  <si>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</si>
  <si>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</si>
  <si>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</si>
  <si>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</si>
  <si>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</si>
  <si>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</si>
  <si>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</si>
  <si>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</si>
  <si>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</si>
  <si>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</si>
  <si>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</si>
  <si>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</si>
  <si>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</si>
  <si>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</si>
  <si>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</si>
  <si>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</si>
  <si>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</si>
  <si>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</si>
  <si>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</si>
  <si>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</si>
  <si>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</si>
  <si>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</si>
  <si>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</si>
  <si>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</si>
  <si>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</si>
  <si>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</si>
  <si>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</si>
  <si>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</si>
  <si>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</si>
  <si>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</si>
  <si>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</si>
  <si>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</si>
  <si>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</si>
  <si>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</si>
  <si>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</si>
  <si>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</si>
  <si>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</si>
  <si>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</si>
  <si>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</si>
  <si>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</si>
  <si>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</si>
  <si>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</si>
  <si>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</si>
  <si>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</si>
  <si>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</si>
  <si>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</si>
  <si>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</si>
  <si>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</si>
  <si>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</si>
  <si>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</si>
  <si>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</si>
  <si>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</si>
  <si>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</si>
  <si>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</si>
  <si>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</si>
  <si>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</si>
  <si>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</si>
  <si>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</si>
  <si>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</si>
  <si>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</si>
  <si>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</si>
  <si>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</si>
  <si>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</si>
  <si>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</si>
  <si>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</si>
  <si>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</si>
  <si>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</si>
  <si>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</si>
  <si>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</si>
  <si>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</si>
  <si>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</si>
  <si>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</si>
  <si>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</si>
  <si>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</si>
  <si>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</si>
  <si>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</si>
  <si>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</si>
  <si>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</si>
  <si>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</si>
  <si>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</si>
  <si>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</si>
  <si>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</si>
  <si>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</si>
  <si>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</si>
  <si>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</si>
  <si>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</si>
  <si>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</si>
  <si>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</si>
  <si>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</si>
  <si>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</si>
  <si>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</si>
  <si>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</si>
  <si>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</si>
  <si>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</si>
  <si>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</si>
  <si>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</si>
  <si>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</si>
  <si>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</si>
  <si>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</si>
  <si>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</si>
  <si>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</si>
  <si>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</si>
  <si>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</si>
  <si>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</si>
  <si>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</si>
  <si>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</si>
  <si>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</si>
  <si>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</si>
  <si>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</si>
  <si>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</si>
  <si>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</si>
  <si>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</si>
  <si>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</si>
  <si>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</si>
  <si>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</si>
  <si>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</si>
  <si>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</si>
  <si>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</si>
  <si>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</si>
  <si>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</si>
  <si>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</si>
  <si>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</si>
  <si>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</si>
  <si>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</si>
  <si>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</si>
  <si>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</si>
  <si>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</si>
  <si>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</si>
  <si>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</si>
  <si>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</si>
  <si>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</si>
  <si>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</si>
  <si>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</si>
  <si>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</si>
  <si>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</si>
  <si>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</si>
  <si>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</si>
  <si>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</si>
  <si>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</si>
  <si>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</si>
  <si>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</si>
  <si>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</si>
  <si>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</si>
  <si>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</si>
  <si>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</si>
  <si>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</si>
  <si>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</si>
  <si>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</si>
  <si>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</si>
  <si>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</si>
  <si>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</si>
  <si>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</si>
  <si>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</si>
  <si>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</si>
  <si>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</si>
  <si>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</si>
  <si>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</si>
  <si>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</si>
  <si>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</si>
  <si>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</si>
  <si>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</si>
  <si>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</si>
  <si>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</si>
  <si>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</si>
  <si>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</si>
  <si>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</si>
  <si>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</si>
  <si>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</si>
  <si>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</si>
  <si>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</si>
  <si>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</si>
  <si>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</si>
  <si>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</si>
  <si>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</si>
  <si>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</si>
  <si>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</si>
  <si>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</si>
  <si>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</si>
  <si>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</si>
  <si>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</si>
  <si>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</si>
  <si>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</si>
  <si>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</si>
  <si>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</si>
  <si>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</si>
  <si>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</si>
  <si>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</si>
  <si>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</si>
  <si>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</si>
  <si>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</si>
  <si>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</si>
  <si>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</si>
  <si>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</si>
  <si>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</si>
  <si>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</si>
  <si>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</si>
  <si>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</si>
  <si>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</si>
  <si>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</si>
  <si>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</si>
  <si>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</si>
  <si>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</si>
  <si>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</si>
  <si>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</si>
  <si>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</si>
  <si>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</si>
  <si>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</si>
  <si>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</si>
  <si>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</si>
  <si>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</si>
  <si>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</si>
  <si>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</si>
  <si>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</si>
  <si>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</si>
  <si>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</si>
  <si>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</si>
  <si>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</si>
  <si>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</si>
  <si>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</si>
  <si>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</si>
  <si>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</si>
  <si>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</si>
  <si>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</si>
  <si>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</si>
  <si>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</si>
  <si>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</si>
  <si>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</si>
  <si>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</si>
  <si>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</si>
  <si>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</si>
  <si>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</si>
  <si>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</si>
  <si>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</si>
  <si>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</si>
  <si>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</si>
  <si>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</si>
  <si>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</si>
  <si>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</si>
  <si>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</si>
  <si>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</si>
  <si>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</si>
  <si>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</si>
  <si>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</si>
  <si>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</si>
  <si>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</si>
  <si>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</si>
  <si>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</si>
  <si>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</si>
  <si>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</si>
  <si>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</si>
  <si>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</si>
  <si>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</si>
  <si>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</si>
  <si>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</si>
  <si>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</si>
  <si>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</si>
  <si>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</si>
  <si>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</si>
  <si>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</si>
  <si>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</si>
  <si>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</si>
  <si>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</si>
  <si>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</si>
  <si>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</si>
  <si>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</si>
  <si>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</si>
  <si>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</si>
  <si>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</si>
  <si>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</si>
  <si>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</si>
  <si>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</si>
  <si>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</si>
  <si>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</si>
  <si>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</si>
  <si>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</si>
  <si>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</si>
  <si>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</si>
  <si>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</si>
  <si>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</si>
  <si>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</si>
  <si>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</si>
  <si>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</si>
  <si>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</si>
  <si>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</si>
  <si>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</si>
  <si>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</si>
  <si>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</si>
  <si>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</si>
  <si>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</si>
  <si>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</si>
  <si>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</si>
  <si>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</si>
  <si>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</si>
  <si>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</si>
  <si>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</si>
  <si>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</si>
  <si>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</si>
  <si>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</si>
  <si>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</si>
  <si>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</si>
  <si>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</si>
  <si>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</si>
  <si>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</si>
  <si>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</si>
  <si>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</si>
  <si>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</si>
  <si>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</si>
  <si>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</si>
  <si>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</si>
  <si>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</si>
  <si>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</si>
  <si>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</si>
  <si>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</si>
  <si>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</si>
  <si>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</si>
  <si>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</si>
  <si>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</si>
  <si>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</si>
  <si>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</si>
  <si>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</si>
  <si>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</si>
  <si>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</si>
  <si>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</si>
  <si>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</si>
  <si>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</si>
  <si>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</si>
  <si>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</si>
  <si>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</si>
  <si>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</si>
  <si>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</si>
  <si>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</si>
  <si>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</si>
  <si>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</si>
  <si>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</si>
  <si>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</si>
  <si>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</si>
  <si>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</si>
  <si>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</si>
  <si>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</si>
  <si>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</si>
  <si>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</si>
  <si>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</si>
  <si>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</si>
  <si>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</si>
  <si>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</si>
  <si>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</si>
  <si>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</si>
  <si>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</si>
  <si>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</si>
  <si>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</si>
  <si>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</si>
  <si>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</si>
  <si>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</si>
  <si>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</si>
  <si>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</si>
  <si>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</si>
  <si>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</si>
  <si>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</si>
  <si>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</si>
  <si>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</si>
  <si>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</si>
  <si>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</si>
  <si>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</si>
  <si>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</si>
  <si>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</si>
  <si>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</si>
  <si>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</si>
  <si>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</si>
  <si>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</si>
  <si>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</si>
  <si>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</si>
  <si>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</si>
  <si>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</si>
  <si>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</si>
  <si>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</si>
  <si>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</si>
  <si>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</si>
  <si>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</si>
  <si>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</si>
  <si>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</si>
  <si>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</si>
  <si>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</si>
  <si>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</si>
  <si>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</si>
  <si>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</si>
  <si>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</si>
  <si>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</si>
  <si>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</si>
  <si>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</si>
  <si>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</si>
  <si>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</si>
  <si>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</si>
  <si>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</si>
  <si>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</si>
  <si>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</si>
  <si>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</si>
  <si>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</si>
  <si>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</si>
  <si>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</si>
  <si>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</si>
  <si>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</si>
  <si>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</si>
  <si>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</si>
  <si>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</si>
  <si>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</si>
  <si>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</si>
  <si>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</si>
  <si>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</si>
  <si>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</si>
  <si>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</si>
  <si>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</si>
  <si>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</si>
  <si>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</si>
  <si>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</si>
  <si>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</si>
  <si>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</si>
  <si>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</si>
  <si>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</si>
  <si>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</si>
  <si>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</si>
  <si>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</si>
  <si>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</si>
  <si>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</si>
  <si>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</si>
  <si>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</si>
  <si>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</si>
  <si>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</si>
  <si>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</si>
  <si>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</si>
  <si>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</si>
  <si>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</si>
  <si>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</si>
  <si>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</si>
  <si>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</si>
  <si>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</si>
  <si>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</si>
  <si>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</si>
  <si>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</si>
  <si>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</si>
  <si>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</si>
  <si>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</si>
  <si>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</si>
  <si>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</si>
  <si>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</si>
  <si>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</si>
  <si>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</si>
  <si>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</si>
  <si>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</si>
  <si>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</si>
  <si>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</si>
  <si>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</si>
  <si>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</si>
  <si>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</si>
  <si>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</si>
  <si>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</si>
  <si>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</si>
  <si>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</si>
  <si>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</si>
  <si>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</si>
  <si>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</si>
  <si>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</si>
  <si>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</si>
  <si>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</si>
  <si>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</si>
  <si>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</si>
  <si>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</si>
  <si>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</si>
  <si>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</si>
  <si>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</si>
  <si>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</si>
  <si>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</si>
  <si>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</si>
  <si>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</si>
  <si>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</si>
  <si>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</si>
  <si>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</si>
  <si>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</si>
  <si>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</si>
  <si>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</si>
  <si>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</si>
  <si>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</si>
  <si>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</si>
  <si>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</si>
  <si>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</si>
  <si>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</si>
  <si>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</si>
  <si>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</si>
  <si>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</si>
  <si>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</si>
  <si>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</si>
  <si>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</si>
  <si>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</si>
  <si>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</si>
  <si>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</si>
  <si>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</si>
  <si>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</si>
  <si>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</si>
  <si>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</si>
  <si>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</si>
  <si>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</si>
  <si>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</si>
  <si>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</si>
  <si>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</si>
  <si>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</si>
  <si>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</si>
  <si>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</si>
  <si>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</si>
  <si>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</si>
  <si>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</si>
  <si>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</si>
  <si>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</si>
  <si>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</si>
  <si>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</si>
  <si>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</si>
  <si>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</si>
  <si>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</si>
  <si>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</si>
  <si>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</si>
  <si>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</si>
  <si>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</si>
  <si>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</si>
  <si>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</si>
  <si>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</si>
  <si>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</si>
  <si>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</si>
  <si>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</si>
  <si>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</si>
  <si>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</si>
  <si>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</si>
  <si>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</si>
  <si>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</si>
  <si>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</si>
  <si>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</si>
  <si>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</si>
  <si>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</si>
  <si>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</si>
  <si>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</si>
  <si>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</si>
  <si>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</si>
  <si>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</si>
  <si>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</si>
  <si>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</si>
  <si>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</si>
  <si>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</si>
  <si>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</si>
  <si>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</si>
  <si>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</si>
  <si>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</si>
  <si>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</si>
  <si>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</si>
  <si>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</si>
  <si>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</si>
  <si>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</si>
  <si>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</si>
  <si>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</si>
  <si>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</si>
  <si>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</si>
  <si>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</si>
  <si>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</si>
  <si>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</si>
  <si>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</si>
  <si>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</si>
  <si>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</si>
  <si>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</si>
  <si>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</si>
  <si>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</si>
  <si>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</si>
  <si>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</si>
  <si>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</si>
  <si>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</si>
  <si>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</si>
  <si>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</si>
  <si>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</si>
  <si>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</si>
  <si>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</si>
  <si>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</si>
  <si>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</si>
  <si>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</si>
  <si>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</si>
  <si>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</si>
  <si>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</si>
  <si>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</si>
  <si>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</si>
  <si>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</si>
  <si>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</si>
  <si>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</si>
  <si>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</si>
  <si>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</si>
  <si>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</si>
  <si>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</si>
  <si>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</si>
  <si>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</si>
  <si>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</si>
  <si>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</si>
  <si>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</si>
  <si>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</si>
  <si>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</si>
  <si>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</si>
  <si>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</si>
  <si>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</si>
  <si>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</si>
  <si>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</si>
  <si>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</si>
  <si>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</si>
  <si>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</si>
  <si>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</si>
  <si>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</si>
  <si>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</si>
  <si>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</si>
  <si>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</si>
  <si>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</si>
  <si>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</si>
  <si>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</si>
  <si>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</si>
  <si>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</si>
  <si>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</si>
  <si>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</si>
  <si>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</si>
  <si>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</si>
  <si>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</si>
  <si>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</si>
  <si>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</si>
  <si>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</si>
  <si>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</si>
  <si>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</si>
  <si>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</si>
  <si>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</si>
  <si>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</si>
  <si>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</si>
  <si>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</si>
  <si>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</si>
  <si>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</si>
  <si>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</si>
  <si>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</si>
  <si>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</si>
  <si>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</si>
  <si>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</si>
  <si>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</si>
  <si>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</si>
  <si>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</si>
  <si>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</si>
  <si>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</si>
  <si>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</si>
  <si>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</si>
  <si>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</si>
  <si>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</si>
  <si>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</si>
  <si>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</si>
  <si>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</si>
  <si>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</si>
  <si>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</si>
  <si>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</si>
  <si>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</si>
  <si>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</si>
  <si>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</si>
  <si>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</si>
  <si>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</si>
  <si>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</si>
  <si>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</si>
  <si>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</si>
  <si>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</si>
  <si>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</si>
  <si>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</si>
  <si>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</si>
  <si>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</si>
  <si>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</si>
  <si>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</si>
  <si>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</si>
  <si>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</si>
  <si>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</si>
  <si>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</si>
  <si>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</si>
  <si>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</si>
  <si>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</si>
  <si>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</si>
  <si>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</si>
  <si>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</si>
  <si>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</si>
  <si>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</si>
  <si>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</si>
  <si>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</si>
  <si>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</si>
  <si>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</si>
  <si>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</si>
  <si>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</si>
  <si>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</si>
  <si>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</si>
  <si>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</si>
  <si>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</si>
  <si>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</si>
  <si>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</si>
  <si>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</si>
  <si>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</si>
  <si>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</si>
  <si>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</si>
  <si>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</si>
  <si>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</si>
  <si>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</si>
  <si>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</si>
  <si>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</si>
  <si>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</si>
  <si>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</si>
  <si>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</si>
  <si>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</si>
  <si>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</si>
  <si>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</si>
  <si>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</si>
  <si>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</si>
  <si>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</si>
  <si>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</si>
  <si>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</si>
  <si>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</si>
  <si>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</si>
  <si>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</si>
  <si>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</si>
  <si>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</si>
  <si>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</si>
  <si>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</si>
  <si>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</si>
  <si>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</si>
  <si>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</si>
  <si>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</si>
  <si>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</si>
  <si>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</si>
  <si>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</si>
  <si>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</si>
  <si>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</si>
  <si>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</si>
  <si>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</si>
  <si>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</si>
  <si>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</si>
  <si>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</si>
  <si>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</si>
  <si>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</si>
  <si>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</si>
  <si>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</si>
  <si>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</si>
  <si>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</si>
  <si>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</si>
  <si>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</si>
  <si>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</si>
  <si>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</si>
  <si>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</si>
  <si>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</si>
  <si>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</si>
  <si>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</si>
  <si>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</si>
  <si>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</si>
  <si>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</si>
  <si>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</si>
  <si>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</si>
  <si>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</si>
  <si>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</si>
  <si>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</si>
  <si>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</si>
  <si>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</si>
  <si>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</si>
  <si>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</si>
  <si>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</si>
  <si>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</si>
  <si>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</si>
  <si>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</si>
  <si>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</si>
  <si>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</si>
  <si>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</si>
  <si>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</si>
  <si>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</si>
  <si>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</si>
  <si>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</si>
  <si>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</si>
  <si>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</si>
  <si>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</si>
  <si>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</si>
  <si>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</si>
  <si>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</si>
  <si>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</si>
  <si>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</si>
  <si>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</si>
  <si>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</si>
  <si>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</si>
  <si>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</si>
  <si>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</si>
  <si>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</si>
  <si>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</si>
  <si>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</si>
  <si>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</si>
  <si>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</si>
  <si>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</si>
  <si>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</si>
  <si>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</si>
  <si>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</si>
  <si>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</si>
  <si>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</si>
  <si>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</si>
  <si>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</si>
  <si>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</si>
  <si>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</si>
  <si>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</si>
  <si>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</si>
  <si>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</si>
  <si>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</si>
  <si>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</si>
  <si>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</si>
  <si>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</si>
  <si>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</si>
  <si>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</si>
  <si>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</si>
  <si>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</si>
  <si>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</si>
  <si>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</si>
  <si>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</si>
  <si>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</si>
  <si>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</si>
  <si>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</si>
  <si>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</si>
  <si>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</si>
  <si>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</si>
  <si>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</si>
  <si>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</si>
  <si>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</si>
  <si>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</si>
  <si>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</si>
  <si>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</si>
  <si>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</si>
  <si>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</si>
  <si>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</si>
  <si>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</si>
  <si>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</si>
  <si>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</si>
  <si>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</si>
  <si>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</si>
  <si>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</si>
  <si>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</si>
  <si>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</si>
  <si>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</si>
  <si>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</si>
  <si>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</si>
  <si>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</si>
  <si>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</si>
  <si>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</si>
  <si>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</si>
  <si>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</si>
  <si>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</si>
  <si>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</si>
  <si>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</si>
  <si>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</si>
  <si>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</si>
  <si>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</si>
  <si>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</si>
  <si>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</si>
  <si>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</si>
  <si>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</si>
  <si>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</si>
  <si>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</si>
  <si>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</si>
  <si>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</si>
  <si>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</si>
  <si>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</si>
  <si>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</si>
  <si>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</si>
  <si>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</si>
  <si>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</si>
  <si>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</si>
  <si>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</si>
  <si>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</si>
  <si>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</si>
  <si>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</si>
  <si>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</si>
  <si>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</si>
  <si>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</si>
  <si>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</si>
  <si>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</si>
  <si>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</si>
  <si>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</si>
  <si>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</si>
  <si>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</si>
  <si>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</si>
  <si>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</si>
  <si>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</si>
  <si>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</si>
  <si>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</si>
  <si>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</si>
  <si>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</si>
  <si>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</si>
  <si>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</si>
  <si>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</si>
  <si>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</si>
  <si>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</si>
  <si>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</si>
  <si>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</si>
  <si>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</si>
  <si>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</si>
  <si>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</si>
  <si>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</si>
  <si>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</si>
  <si>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</si>
  <si>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</si>
  <si>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</si>
  <si>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</si>
  <si>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</si>
  <si>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</si>
  <si>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</si>
  <si>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</si>
  <si>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</si>
  <si>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</si>
  <si>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</si>
  <si>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</si>
  <si>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</si>
  <si>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</si>
  <si>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</si>
  <si>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</si>
  <si>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</si>
  <si>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</si>
  <si>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</si>
  <si>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</si>
  <si>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</si>
  <si>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</si>
  <si>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</si>
  <si>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</si>
  <si>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</si>
  <si>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</si>
  <si>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</si>
  <si>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</si>
  <si>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</si>
  <si>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</si>
  <si>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</si>
  <si>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</si>
  <si>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</si>
  <si>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</si>
  <si>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</si>
  <si>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</si>
  <si>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</si>
  <si>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</si>
  <si>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</si>
  <si>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</si>
  <si>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</si>
  <si>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</si>
  <si>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</si>
  <si>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</si>
  <si>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</si>
  <si>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</si>
  <si>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</si>
  <si>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</si>
  <si>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</si>
  <si>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</si>
  <si>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</si>
  <si>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</si>
  <si>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</si>
  <si>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</si>
  <si>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</si>
  <si>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</si>
  <si>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</si>
  <si>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</si>
  <si>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</si>
  <si>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</si>
  <si>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</si>
  <si>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</si>
  <si>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</si>
  <si>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</si>
  <si>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</si>
  <si>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</si>
  <si>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</si>
  <si>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</si>
  <si>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</si>
  <si>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</si>
  <si>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</si>
  <si>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</si>
  <si>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</si>
  <si>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</si>
  <si>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</si>
  <si>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</si>
  <si>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</si>
  <si>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</si>
  <si>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</si>
  <si>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</si>
  <si>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</si>
  <si>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</si>
  <si>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</si>
  <si>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</si>
  <si>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</si>
  <si>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</si>
  <si>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</si>
  <si>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</si>
  <si>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</si>
  <si>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</si>
  <si>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</si>
  <si>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</si>
  <si>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</si>
  <si>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</si>
  <si>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</si>
  <si>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</si>
  <si>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</si>
  <si>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</si>
  <si>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</si>
  <si>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</si>
  <si>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</si>
  <si>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</si>
  <si>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</si>
  <si>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</si>
  <si>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</si>
  <si>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</si>
  <si>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</si>
  <si>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</si>
  <si>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</si>
  <si>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</si>
  <si>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</si>
  <si>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</si>
  <si>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</si>
  <si>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</si>
  <si>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</si>
  <si>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</si>
  <si>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</si>
  <si>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</si>
  <si>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</si>
  <si>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</si>
  <si>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</si>
  <si>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</si>
  <si>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</si>
  <si>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</si>
  <si>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</si>
  <si>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</si>
  <si>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</si>
  <si>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</si>
  <si>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</si>
  <si>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</si>
  <si>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</si>
  <si>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</si>
  <si>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</si>
  <si>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</si>
  <si>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</si>
  <si>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</si>
  <si>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</si>
  <si>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</si>
  <si>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</si>
  <si>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</si>
  <si>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</si>
  <si>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</si>
  <si>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</si>
  <si>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</si>
  <si>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</si>
  <si>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</si>
  <si>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</si>
  <si>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</si>
  <si>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</si>
  <si>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</si>
  <si>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</si>
  <si>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</si>
  <si>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</si>
  <si>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</si>
  <si>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</si>
  <si>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</si>
  <si>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</si>
  <si>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</si>
  <si>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</si>
  <si>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</si>
  <si>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</si>
  <si>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</si>
  <si>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</si>
  <si>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</si>
  <si>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</si>
  <si>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</si>
  <si>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</si>
  <si>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</si>
  <si>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</si>
  <si>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</si>
  <si>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</si>
  <si>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</si>
  <si>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</si>
  <si>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</si>
  <si>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</si>
  <si>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</si>
  <si>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</si>
  <si>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</si>
  <si>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</si>
  <si>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</si>
  <si>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</si>
  <si>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</si>
  <si>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</si>
  <si>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</si>
  <si>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</si>
  <si>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</si>
  <si>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</si>
  <si>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</si>
  <si>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</si>
  <si>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</si>
  <si>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</si>
  <si>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</si>
  <si>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</si>
  <si>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</si>
  <si>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</si>
  <si>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</si>
  <si>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</si>
  <si>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</si>
  <si>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</si>
  <si>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</si>
  <si>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</si>
  <si>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</si>
  <si>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</si>
  <si>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</si>
  <si>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</si>
  <si>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</si>
  <si>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</si>
  <si>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</si>
  <si>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</si>
  <si>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</si>
  <si>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</si>
  <si>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</si>
  <si>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</si>
  <si>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</si>
  <si>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</si>
  <si>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</si>
  <si>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</si>
  <si>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</si>
  <si>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</si>
  <si>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</si>
  <si>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</si>
  <si>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</si>
  <si>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</si>
  <si>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</si>
  <si>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</si>
  <si>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</si>
  <si>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</si>
  <si>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</si>
  <si>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</si>
  <si>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</si>
  <si>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</si>
  <si>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</si>
  <si>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</si>
  <si>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</si>
  <si>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</si>
  <si>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</si>
  <si>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</si>
  <si>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</si>
  <si>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</si>
  <si>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</si>
  <si>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</si>
  <si>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</si>
  <si>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</si>
  <si>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</si>
  <si>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</si>
  <si>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</si>
  <si>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</si>
  <si>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</si>
  <si>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</si>
  <si>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</si>
  <si>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</si>
  <si>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</si>
  <si>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</si>
  <si>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</si>
  <si>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</si>
  <si>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</si>
  <si>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</si>
  <si>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</si>
  <si>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</si>
  <si>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</si>
  <si>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</si>
  <si>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</si>
  <si>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</si>
  <si>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</si>
  <si>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</si>
  <si>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</si>
  <si>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</si>
  <si>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</si>
  <si>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</si>
  <si>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</si>
  <si>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</si>
  <si>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</si>
  <si>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</si>
  <si>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</si>
  <si>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</si>
  <si>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</si>
  <si>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</si>
  <si>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</si>
  <si>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</si>
  <si>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</si>
  <si>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</si>
  <si>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</si>
  <si>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</si>
  <si>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</si>
  <si>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</si>
  <si>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</si>
  <si>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</si>
  <si>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</si>
  <si>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</si>
  <si>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</si>
  <si>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</si>
  <si>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</si>
  <si>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</si>
  <si>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</si>
  <si>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</si>
  <si>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</si>
  <si>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</si>
  <si>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</si>
  <si>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</si>
  <si>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</si>
  <si>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</si>
  <si>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</si>
  <si>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</si>
  <si>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</si>
  <si>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</si>
  <si>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</si>
  <si>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</si>
  <si>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</si>
  <si>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</si>
  <si>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</si>
  <si>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</si>
  <si>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</si>
  <si>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</si>
  <si>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</si>
  <si>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</si>
  <si>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</si>
  <si>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</si>
  <si>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</si>
  <si>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</si>
  <si>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</si>
  <si>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</si>
  <si>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</si>
  <si>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</si>
  <si>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</si>
  <si>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</si>
  <si>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</si>
  <si>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</si>
  <si>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</si>
  <si>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</si>
  <si>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</si>
  <si>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</si>
  <si>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</si>
  <si>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</si>
  <si>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</si>
  <si>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</si>
  <si>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</si>
  <si>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</si>
  <si>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</si>
  <si>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</si>
  <si>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</si>
  <si>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</si>
  <si>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</si>
  <si>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</si>
  <si>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</si>
  <si>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</si>
  <si>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</si>
  <si>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</si>
  <si>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</si>
  <si>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</si>
  <si>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</si>
  <si>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</si>
  <si>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</si>
  <si>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</si>
  <si>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</si>
  <si>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</si>
  <si>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</si>
  <si>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</si>
  <si>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</si>
  <si>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</si>
  <si>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</si>
  <si>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</si>
  <si>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</si>
  <si>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</si>
  <si>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</si>
  <si>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</si>
  <si>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</si>
  <si>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</si>
  <si>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</si>
  <si>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</si>
  <si>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</si>
  <si>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</si>
  <si>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</si>
  <si>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</si>
  <si>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</si>
  <si>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</si>
  <si>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</si>
  <si>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</si>
  <si>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</si>
  <si>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</si>
  <si>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</si>
  <si>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</si>
  <si>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</si>
  <si>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</si>
  <si>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</si>
  <si>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</si>
  <si>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</si>
  <si>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</si>
  <si>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</si>
  <si>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</si>
  <si>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</si>
  <si>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</si>
  <si>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</si>
  <si>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</si>
  <si>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</si>
  <si>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</si>
  <si>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</si>
  <si>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</si>
  <si>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</si>
  <si>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</si>
  <si>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</si>
  <si>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</si>
  <si>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</si>
  <si>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</si>
  <si>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</si>
  <si>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</si>
  <si>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</si>
  <si>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</si>
  <si>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</si>
  <si>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</si>
  <si>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</si>
  <si>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</si>
  <si>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</si>
  <si>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</si>
  <si>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</si>
  <si>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</si>
  <si>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</si>
  <si>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</si>
  <si>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</si>
  <si>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</si>
  <si>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</si>
  <si>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</si>
  <si>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</si>
  <si>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</si>
  <si>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</si>
  <si>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</si>
  <si>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</si>
  <si>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</si>
  <si>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</si>
  <si>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</si>
  <si>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</si>
  <si>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</si>
  <si>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</si>
  <si>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</si>
  <si>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</si>
  <si>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</si>
  <si>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</si>
  <si>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</si>
  <si>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</si>
  <si>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</si>
  <si>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</si>
  <si>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</si>
  <si>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</si>
  <si>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</si>
  <si>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</si>
  <si>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</si>
  <si>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</si>
  <si>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</si>
  <si>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</si>
  <si>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</si>
  <si>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</si>
  <si>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</si>
  <si>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</si>
  <si>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</si>
  <si>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</si>
  <si>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</si>
  <si>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</si>
  <si>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</si>
  <si>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</si>
  <si>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</si>
  <si>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</si>
  <si>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</si>
  <si>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</si>
  <si>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</si>
  <si>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</si>
  <si>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</si>
  <si>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</si>
  <si>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</si>
  <si>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</si>
  <si>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</si>
  <si>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</si>
  <si>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</si>
  <si>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</si>
  <si>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</si>
  <si>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</si>
  <si>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</si>
  <si>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</si>
  <si>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</si>
  <si>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</si>
  <si>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</si>
  <si>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</si>
  <si>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</si>
  <si>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</si>
  <si>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</si>
  <si>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</si>
  <si>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</si>
  <si>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</si>
  <si>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</si>
  <si>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</si>
  <si>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</si>
  <si>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</si>
  <si>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</si>
  <si>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</si>
  <si>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</si>
  <si>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</si>
  <si>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</si>
  <si>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</si>
  <si>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</si>
  <si>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</si>
  <si>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</si>
  <si>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</si>
  <si>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</si>
  <si>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</si>
  <si>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</si>
  <si>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</si>
  <si>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</si>
  <si>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</si>
  <si>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</si>
  <si>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</si>
  <si>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</si>
  <si>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</si>
  <si>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</si>
  <si>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</si>
  <si>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</si>
  <si>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</si>
  <si>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</si>
  <si>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</si>
  <si>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</si>
  <si>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</si>
  <si>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</si>
  <si>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</si>
  <si>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</si>
  <si>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</si>
  <si>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</si>
  <si>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</si>
  <si>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</si>
  <si>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</si>
  <si>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</si>
  <si>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</si>
  <si>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</si>
  <si>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</si>
  <si>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</si>
  <si>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</si>
  <si>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</si>
  <si>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</si>
  <si>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</si>
  <si>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</si>
  <si>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</si>
  <si>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</si>
  <si>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</si>
  <si>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</si>
  <si>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</si>
  <si>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</si>
  <si>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</si>
  <si>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</si>
  <si>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</si>
  <si>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</si>
  <si>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</si>
  <si>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</si>
  <si>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</si>
  <si>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</si>
  <si>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</si>
  <si>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</si>
  <si>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</si>
  <si>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</si>
  <si>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</si>
  <si>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</si>
  <si>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</si>
  <si>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</si>
  <si>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</si>
  <si>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</si>
  <si>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</si>
  <si>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</si>
  <si>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</si>
  <si>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</si>
  <si>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</si>
  <si>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</si>
  <si>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</si>
  <si>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</si>
  <si>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</si>
  <si>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</si>
  <si>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</si>
  <si>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</si>
  <si>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</si>
  <si>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</si>
  <si>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</si>
  <si>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</si>
  <si>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</si>
  <si>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</si>
  <si>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</si>
  <si>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</si>
  <si>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</si>
  <si>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</si>
  <si>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</si>
  <si>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</si>
  <si>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</si>
  <si>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</si>
  <si>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</si>
  <si>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</si>
  <si>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</si>
  <si>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</si>
  <si>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</si>
  <si>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</si>
  <si>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</si>
  <si>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</si>
  <si>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</si>
  <si>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</si>
  <si>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</si>
  <si>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</si>
  <si>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</si>
  <si>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</si>
  <si>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</si>
  <si>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</si>
  <si>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</si>
  <si>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</si>
  <si>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</si>
  <si>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</si>
  <si>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</si>
  <si>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</si>
  <si>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</si>
  <si>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</si>
  <si>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</si>
  <si>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</si>
  <si>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</si>
  <si>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</si>
  <si>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</si>
  <si>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</si>
  <si>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</si>
  <si>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</si>
  <si>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</si>
  <si>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</si>
  <si>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</si>
  <si>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</si>
  <si>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</si>
  <si>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</si>
  <si>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</si>
  <si>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</si>
  <si>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</si>
  <si>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</si>
  <si>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</si>
  <si>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</si>
  <si>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</si>
  <si>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</si>
  <si>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</si>
  <si>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</si>
  <si>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</si>
  <si>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</si>
  <si>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</si>
  <si>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</si>
  <si>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</si>
  <si>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</si>
  <si>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</si>
  <si>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</si>
  <si>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</si>
  <si>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</si>
  <si>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</si>
  <si>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</si>
  <si>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</si>
  <si>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</si>
  <si>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</si>
  <si>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</si>
  <si>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</si>
  <si>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</si>
  <si>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</si>
  <si>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</si>
  <si>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</si>
  <si>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</si>
  <si>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</si>
  <si>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</si>
  <si>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</si>
  <si>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</si>
  <si>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</si>
  <si>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</si>
  <si>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</si>
  <si>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</si>
  <si>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</si>
  <si>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</si>
  <si>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</si>
  <si>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</si>
  <si>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</si>
  <si>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</si>
  <si>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</si>
  <si>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</si>
  <si>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</si>
  <si>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</si>
  <si>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</si>
  <si>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</si>
  <si>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</si>
  <si>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</si>
  <si>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</si>
  <si>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</si>
  <si>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</si>
  <si>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</si>
  <si>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</si>
  <si>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</si>
  <si>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</si>
  <si>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</si>
  <si>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</si>
  <si>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</si>
  <si>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</si>
  <si>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</si>
  <si>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</si>
  <si>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</si>
  <si>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</si>
  <si>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</si>
  <si>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</si>
  <si>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</si>
  <si>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</si>
  <si>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</si>
  <si>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</si>
  <si>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</si>
  <si>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</si>
  <si>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</si>
  <si>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</si>
  <si>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</si>
  <si>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</si>
  <si>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</si>
  <si>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</si>
  <si>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</si>
  <si>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</si>
  <si>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</si>
  <si>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</si>
  <si>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</si>
  <si>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</si>
  <si>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</si>
  <si>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</si>
  <si>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</si>
  <si>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</si>
  <si>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</si>
  <si>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</si>
  <si>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</si>
  <si>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</si>
  <si>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</si>
  <si>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</si>
  <si>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</si>
  <si>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</si>
  <si>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</si>
  <si>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</si>
  <si>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</si>
  <si>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</si>
  <si>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</si>
  <si>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</si>
  <si>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</si>
  <si>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</si>
  <si>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</si>
  <si>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</si>
  <si>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</si>
  <si>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</si>
  <si>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</si>
  <si>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</si>
  <si>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</si>
  <si>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</si>
  <si>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</si>
  <si>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</si>
  <si>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</si>
  <si>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</si>
  <si>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</si>
  <si>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</si>
  <si>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</si>
  <si>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</si>
  <si>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</si>
  <si>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</si>
  <si>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</si>
  <si>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</si>
  <si>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</si>
  <si>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</si>
  <si>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</si>
  <si>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</si>
  <si>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</si>
  <si>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</si>
  <si>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</si>
  <si>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</si>
  <si>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</si>
  <si>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</si>
  <si>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</si>
  <si>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</si>
  <si>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</si>
  <si>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</si>
  <si>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</si>
  <si>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</si>
  <si>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</si>
  <si>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</si>
  <si>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</si>
  <si>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</si>
  <si>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</si>
  <si>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</si>
  <si>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</si>
  <si>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</si>
  <si>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</si>
  <si>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</si>
  <si>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</si>
  <si>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</si>
  <si>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</si>
  <si>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</si>
  <si>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</si>
  <si>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</si>
  <si>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</si>
  <si>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</si>
  <si>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</si>
  <si>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</si>
  <si>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</si>
  <si>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</si>
  <si>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</si>
  <si>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</si>
  <si>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</si>
  <si>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</si>
  <si>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</si>
  <si>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</si>
  <si>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</si>
  <si>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</si>
  <si>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</si>
  <si>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</si>
  <si>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</si>
  <si>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</si>
  <si>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</si>
  <si>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</si>
  <si>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</si>
  <si>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</si>
  <si>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</si>
  <si>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</si>
  <si>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</si>
  <si>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</si>
  <si>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</si>
  <si>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</si>
  <si>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</si>
  <si>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</si>
  <si>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</si>
  <si>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</si>
  <si>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</si>
  <si>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</si>
  <si>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</si>
  <si>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</si>
  <si>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</si>
  <si>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</si>
  <si>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</si>
  <si>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</si>
  <si>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</si>
  <si>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</si>
  <si>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</si>
  <si>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</si>
  <si>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</si>
  <si>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</si>
  <si>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</si>
  <si>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</si>
  <si>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</si>
  <si>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</si>
  <si>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</si>
  <si>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</si>
  <si>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</si>
  <si>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</si>
  <si>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</si>
  <si>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</si>
  <si>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</si>
  <si>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</si>
  <si>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</si>
  <si>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</si>
  <si>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</si>
  <si>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</si>
  <si>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</si>
  <si>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</si>
  <si>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</si>
  <si>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</si>
  <si>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</si>
  <si>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</si>
  <si>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</si>
  <si>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</si>
  <si>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</si>
  <si>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</si>
  <si>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</si>
  <si>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</si>
  <si>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</si>
  <si>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</si>
  <si>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</si>
  <si>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</si>
  <si>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</si>
  <si>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</si>
  <si>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</si>
  <si>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</si>
  <si>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</si>
  <si>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</si>
  <si>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</si>
  <si>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</si>
  <si>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</si>
  <si>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</si>
  <si>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</si>
  <si>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</si>
  <si>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</si>
  <si>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</si>
  <si>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</si>
  <si>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</si>
  <si>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</si>
  <si>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</si>
  <si>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</si>
  <si>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</si>
  <si>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</si>
  <si>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</si>
  <si>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</si>
  <si>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</si>
  <si>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</si>
  <si>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</si>
  <si>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</si>
  <si>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</si>
  <si>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</si>
  <si>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</si>
  <si>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</si>
  <si>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</si>
  <si>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</si>
  <si>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</si>
  <si>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</si>
  <si>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</si>
  <si>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</si>
  <si>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</si>
  <si>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</si>
  <si>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</si>
  <si>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</si>
  <si>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</si>
  <si>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</si>
  <si>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</si>
  <si>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</si>
  <si>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</si>
  <si>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</si>
  <si>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</si>
  <si>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</si>
  <si>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</si>
  <si>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</si>
  <si>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</si>
  <si>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</si>
  <si>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</si>
  <si>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</si>
  <si>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</si>
  <si>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</si>
  <si>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</si>
  <si>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</si>
  <si>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</si>
  <si>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</si>
  <si>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</si>
  <si>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</si>
  <si>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</si>
  <si>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</si>
  <si>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</si>
  <si>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</si>
  <si>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</si>
  <si>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</si>
  <si>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</si>
  <si>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</si>
  <si>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</si>
  <si>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</si>
  <si>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</si>
  <si>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</si>
  <si>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</si>
  <si>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</si>
  <si>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</si>
  <si>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</si>
  <si>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</si>
  <si>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</si>
  <si>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</si>
  <si>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</si>
  <si>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</si>
  <si>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</si>
  <si>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</si>
  <si>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</si>
  <si>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</si>
  <si>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</si>
  <si>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</si>
  <si>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</si>
  <si>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</si>
  <si>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</si>
  <si>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</si>
  <si>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</si>
  <si>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</si>
  <si>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</si>
  <si>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</si>
  <si>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</si>
  <si>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</si>
  <si>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</si>
  <si>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</si>
  <si>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</si>
  <si>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</si>
  <si>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</si>
  <si>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</si>
  <si>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</si>
  <si>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</si>
  <si>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</si>
  <si>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</si>
  <si>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</si>
  <si>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</si>
  <si>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</si>
  <si>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</si>
  <si>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</si>
  <si>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</si>
  <si>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</si>
  <si>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</si>
  <si>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</si>
  <si>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</si>
  <si>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</si>
  <si>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</si>
  <si>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</si>
  <si>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</si>
  <si>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</si>
  <si>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</si>
  <si>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</si>
  <si>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</si>
  <si>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</si>
  <si>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</si>
  <si>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</si>
  <si>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</si>
  <si>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</si>
  <si>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</si>
  <si>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</si>
  <si>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</si>
  <si>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</si>
  <si>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</si>
  <si>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</si>
  <si>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</si>
  <si>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</si>
  <si>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</si>
  <si>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</si>
  <si>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</si>
  <si>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</si>
  <si>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</si>
  <si>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</si>
  <si>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</si>
  <si>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</si>
  <si>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</si>
  <si>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</si>
  <si>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</si>
  <si>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</si>
  <si>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</si>
  <si>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</si>
  <si>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</si>
  <si>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</si>
  <si>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</si>
  <si>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</si>
  <si>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</si>
  <si>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</si>
  <si>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</si>
  <si>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</si>
  <si>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</si>
  <si>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</si>
  <si>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</si>
  <si>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</si>
  <si>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</si>
  <si>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</si>
  <si>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</si>
  <si>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</si>
  <si>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</si>
  <si>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</si>
  <si>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</si>
  <si>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</si>
  <si>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</si>
  <si>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</si>
  <si>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</si>
  <si>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</si>
  <si>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</si>
  <si>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</si>
  <si>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</si>
  <si>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</si>
  <si>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</si>
  <si>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</si>
  <si>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</si>
  <si>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</si>
  <si>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</si>
  <si>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</si>
  <si>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</si>
  <si>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</si>
  <si>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</si>
  <si>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</si>
  <si>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</si>
  <si>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</si>
  <si>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</si>
  <si>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</si>
  <si>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</si>
  <si>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</si>
  <si>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</si>
  <si>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</si>
  <si>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</si>
  <si>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</si>
  <si>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</si>
  <si>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</si>
  <si>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</si>
  <si>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</si>
  <si>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</si>
  <si>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</si>
  <si>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</si>
  <si>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</si>
  <si>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</si>
  <si>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</si>
  <si>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</si>
  <si>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</si>
  <si>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</si>
  <si>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</si>
  <si>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</si>
  <si>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</si>
  <si>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</si>
  <si>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</si>
  <si>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</si>
  <si>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</si>
  <si>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</si>
  <si>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</si>
  <si>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</si>
  <si>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</si>
  <si>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</si>
  <si>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</si>
  <si>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</si>
  <si>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</si>
  <si>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</si>
  <si>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</si>
  <si>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</si>
  <si>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</si>
  <si>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</si>
  <si>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</si>
  <si>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</si>
  <si>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</si>
  <si>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</si>
  <si>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</si>
  <si>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</si>
  <si>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</si>
  <si>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</si>
  <si>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</si>
  <si>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</si>
  <si>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</si>
  <si>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</si>
  <si>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</si>
  <si>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</si>
  <si>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</si>
  <si>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</si>
  <si>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</si>
  <si>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</si>
  <si>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</si>
  <si>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</si>
  <si>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</si>
  <si>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</si>
  <si>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</si>
  <si>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</si>
  <si>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</si>
  <si>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</si>
  <si>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</si>
  <si>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</si>
  <si>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</si>
  <si>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</si>
  <si>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</si>
  <si>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</si>
  <si>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</si>
  <si>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</si>
  <si>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</si>
  <si>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</si>
  <si>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</si>
  <si>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</si>
  <si>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</si>
  <si>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</si>
  <si>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</si>
  <si>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</si>
  <si>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</si>
  <si>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</si>
  <si>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</si>
  <si>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</si>
  <si>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</si>
  <si>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</si>
  <si>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</si>
  <si>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</si>
  <si>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</si>
  <si>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</si>
  <si>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</si>
  <si>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</si>
  <si>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</si>
  <si>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</si>
  <si>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</si>
  <si>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</si>
  <si>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</si>
  <si>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</si>
  <si>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</si>
  <si>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</si>
  <si>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</si>
  <si>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</si>
  <si>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</si>
  <si>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</si>
  <si>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</si>
  <si>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</si>
  <si>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</si>
  <si>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</si>
  <si>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</si>
  <si>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</si>
  <si>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</si>
  <si>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</si>
  <si>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</si>
  <si>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</si>
  <si>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</si>
  <si>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</si>
  <si>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</si>
  <si>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</si>
  <si>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</si>
  <si>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</si>
  <si>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</si>
  <si>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</si>
  <si>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</si>
  <si>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</si>
  <si>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</si>
  <si>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</si>
  <si>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</si>
  <si>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</si>
  <si>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</si>
  <si>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</si>
  <si>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</si>
  <si>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</si>
  <si>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</si>
  <si>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</si>
  <si>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</si>
  <si>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</si>
  <si>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</si>
  <si>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</si>
  <si>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</si>
  <si>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</si>
  <si>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</si>
  <si>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</si>
  <si>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</si>
  <si>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</si>
  <si>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</si>
  <si>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</si>
  <si>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</si>
  <si>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</si>
  <si>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</si>
  <si>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</si>
  <si>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</si>
  <si>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</si>
  <si>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</si>
  <si>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</si>
  <si>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</si>
  <si>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</si>
  <si>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</si>
  <si>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</si>
  <si>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</si>
  <si>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</si>
  <si>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</si>
  <si>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</si>
  <si>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</si>
  <si>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</si>
  <si>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</si>
  <si>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</si>
  <si>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</si>
  <si>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</si>
  <si>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</si>
  <si>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</si>
  <si>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</si>
  <si>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</si>
  <si>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</si>
  <si>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</si>
  <si>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</si>
  <si>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</si>
  <si>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</si>
  <si>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</si>
  <si>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</si>
  <si>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</si>
  <si>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</si>
  <si>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</si>
  <si>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</si>
  <si>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</si>
  <si>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</si>
  <si>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</si>
  <si>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</si>
  <si>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</si>
  <si>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</si>
  <si>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</si>
  <si>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</si>
  <si>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</si>
  <si>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</si>
  <si>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</si>
  <si>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</si>
  <si>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</si>
  <si>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</si>
  <si>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</si>
  <si>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</si>
  <si>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</si>
  <si>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</si>
  <si>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</si>
  <si>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</si>
  <si>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</si>
  <si>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</si>
  <si>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</si>
  <si>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</si>
  <si>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</si>
  <si>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</si>
  <si>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</si>
  <si>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</si>
  <si>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</si>
  <si>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</si>
  <si>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</si>
  <si>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</si>
  <si>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</si>
  <si>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</si>
  <si>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</si>
  <si>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</si>
  <si>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</si>
  <si>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</si>
  <si>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</si>
  <si>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</si>
  <si>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</si>
  <si>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</si>
  <si>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</si>
  <si>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</si>
  <si>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</si>
  <si>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</si>
  <si>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</si>
  <si>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</si>
  <si>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</si>
  <si>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</si>
  <si>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</si>
  <si>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</si>
  <si>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</si>
  <si>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</si>
  <si>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</si>
  <si>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</si>
  <si>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</si>
  <si>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</si>
  <si>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</si>
  <si>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</si>
  <si>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</si>
  <si>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</si>
  <si>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</si>
  <si>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</si>
  <si>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</si>
  <si>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</si>
  <si>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</si>
  <si>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</si>
  <si>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</si>
  <si>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</si>
  <si>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</si>
  <si>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</si>
  <si>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</si>
  <si>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</si>
  <si>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</si>
  <si>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</si>
  <si>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</si>
  <si>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</si>
  <si>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</si>
  <si>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</si>
  <si>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</si>
  <si>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</si>
  <si>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</si>
  <si>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</si>
  <si>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</si>
  <si>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</si>
  <si>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</si>
  <si>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</si>
  <si>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</si>
  <si>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</si>
  <si>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</si>
  <si>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</si>
  <si>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</si>
  <si>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</si>
  <si>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</si>
  <si>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</si>
  <si>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</si>
  <si>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</si>
  <si>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</si>
  <si>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</si>
  <si>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</si>
  <si>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</si>
  <si>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</si>
  <si>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</si>
  <si>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</si>
  <si>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</si>
  <si>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</si>
  <si>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</si>
  <si>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</si>
  <si>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</si>
  <si>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</si>
  <si>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</si>
  <si>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</si>
  <si>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</si>
  <si>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</si>
  <si>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</si>
  <si>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</si>
  <si>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</si>
  <si>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</si>
  <si>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</si>
  <si>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</si>
  <si>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</si>
  <si>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</si>
  <si>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</si>
  <si>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</si>
  <si>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</si>
  <si>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</si>
  <si>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</si>
  <si>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</si>
  <si>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</si>
  <si>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</si>
  <si>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</si>
  <si>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</si>
  <si>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</si>
  <si>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</si>
  <si>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</si>
  <si>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</si>
  <si>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</si>
  <si>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</si>
  <si>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</si>
  <si>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</si>
  <si>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</si>
  <si>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</si>
  <si>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</si>
  <si>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</si>
  <si>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</si>
  <si>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</si>
  <si>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</si>
  <si>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</si>
  <si>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</si>
  <si>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</si>
  <si>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</si>
  <si>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</si>
  <si>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</si>
  <si>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</si>
  <si>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</si>
  <si>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</si>
  <si>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</si>
  <si>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</si>
  <si>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</si>
  <si>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</si>
  <si>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</si>
  <si>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</si>
  <si>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</si>
  <si>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</si>
  <si>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</si>
  <si>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</si>
  <si>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</si>
  <si>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</si>
  <si>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</si>
  <si>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</si>
  <si>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</si>
  <si>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</si>
  <si>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</si>
  <si>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</si>
  <si>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</si>
  <si>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</si>
  <si>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</si>
  <si>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</si>
  <si>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</si>
  <si>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</si>
  <si>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</si>
  <si>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</si>
  <si>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</si>
  <si>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</si>
  <si>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</si>
  <si>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</si>
  <si>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</si>
  <si>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</si>
  <si>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</si>
  <si>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</si>
  <si>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</si>
  <si>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</si>
  <si>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</si>
  <si>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</si>
  <si>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</si>
  <si>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</si>
  <si>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</si>
  <si>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</si>
  <si>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</si>
  <si>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</si>
  <si>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</si>
  <si>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</si>
  <si>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</si>
  <si>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</si>
  <si>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</si>
  <si>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</si>
  <si>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</si>
  <si>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</si>
  <si>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</si>
  <si>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</si>
  <si>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</si>
  <si>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</si>
  <si>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</si>
  <si>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</si>
  <si>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</si>
  <si>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</si>
  <si>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</si>
  <si>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</si>
  <si>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</si>
  <si>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</si>
  <si>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</si>
  <si>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</si>
  <si>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</si>
  <si>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</si>
  <si>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</si>
  <si>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</si>
  <si>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</si>
  <si>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</si>
  <si>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</si>
  <si>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</si>
  <si>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</si>
  <si>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</si>
  <si>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</si>
  <si>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</si>
  <si>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</si>
  <si>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</si>
  <si>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</si>
  <si>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</si>
  <si>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</si>
  <si>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</si>
  <si>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</si>
  <si>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</si>
  <si>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</si>
  <si>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</si>
  <si>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</si>
  <si>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</si>
  <si>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</si>
  <si>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</si>
  <si>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</si>
  <si>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</si>
  <si>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</si>
  <si>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</si>
  <si>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</si>
  <si>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</si>
  <si>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</si>
  <si>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</si>
  <si>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</si>
  <si>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</si>
  <si>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</si>
  <si>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</si>
  <si>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</si>
  <si>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</si>
  <si>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</si>
  <si>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</si>
  <si>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</si>
  <si>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</si>
  <si>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</si>
  <si>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</si>
  <si>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</si>
  <si>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</si>
  <si>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</si>
  <si>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</si>
  <si>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</si>
  <si>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</si>
  <si>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</si>
  <si>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</si>
  <si>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</si>
  <si>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</si>
  <si>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</si>
  <si>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</si>
  <si>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</si>
  <si>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</si>
  <si>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</si>
  <si>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</si>
  <si>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</si>
  <si>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</si>
  <si>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</si>
  <si>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</si>
  <si>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</si>
  <si>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</si>
  <si>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</si>
  <si>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</si>
  <si>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</si>
  <si>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</si>
  <si>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</si>
  <si>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</si>
  <si>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</si>
  <si>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</si>
  <si>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</si>
  <si>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</si>
  <si>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</si>
  <si>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</si>
  <si>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</si>
  <si>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</si>
  <si>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</si>
  <si>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</si>
  <si>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</si>
  <si>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</si>
  <si>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</si>
  <si>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</si>
  <si>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</si>
  <si>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</si>
  <si>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</si>
  <si>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</si>
  <si>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</si>
  <si>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</si>
  <si>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</si>
  <si>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</si>
  <si>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</si>
  <si>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</si>
  <si>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</si>
  <si>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</si>
  <si>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</si>
  <si>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</si>
  <si>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</si>
  <si>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</si>
  <si>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</si>
  <si>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</si>
  <si>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</si>
  <si>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</si>
  <si>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</si>
  <si>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</si>
  <si>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</si>
  <si>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</si>
  <si>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</si>
  <si>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</si>
  <si>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</si>
  <si>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</si>
  <si>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</si>
  <si>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</si>
  <si>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</si>
  <si>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</si>
  <si>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</si>
  <si>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</si>
  <si>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</si>
  <si>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</si>
  <si>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</si>
  <si>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</si>
  <si>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</si>
  <si>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</si>
  <si>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</si>
  <si>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</si>
  <si>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</si>
  <si>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</si>
  <si>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</si>
  <si>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</si>
  <si>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</si>
  <si>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</si>
  <si>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</si>
  <si>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</si>
  <si>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</si>
  <si>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</si>
  <si>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</si>
  <si>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</si>
  <si>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</si>
  <si>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</si>
  <si>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</si>
  <si>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</si>
  <si>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</si>
  <si>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</si>
  <si>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</si>
  <si>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</si>
  <si>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</si>
  <si>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</si>
  <si>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</si>
  <si>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</si>
  <si>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</si>
  <si>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</si>
  <si>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</si>
  <si>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</si>
  <si>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</si>
  <si>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</si>
  <si>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</si>
  <si>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</si>
  <si>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</si>
  <si>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</si>
  <si>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</si>
  <si>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</si>
  <si>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</si>
  <si>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</si>
  <si>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</si>
  <si>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</si>
  <si>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</si>
  <si>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</si>
  <si>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</si>
  <si>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</si>
  <si>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</si>
  <si>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</si>
  <si>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</si>
  <si>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</si>
  <si>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</si>
  <si>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</si>
  <si>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</si>
  <si>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</si>
  <si>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</si>
  <si>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</si>
  <si>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</si>
  <si>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</si>
  <si>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</si>
  <si>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</si>
  <si>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</si>
  <si>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</si>
  <si>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</si>
  <si>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</si>
  <si>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</si>
  <si>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</si>
  <si>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</si>
  <si>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</si>
  <si>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</si>
  <si>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</si>
  <si>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</si>
  <si>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</si>
  <si>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</si>
  <si>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</si>
  <si>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</si>
  <si>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</si>
  <si>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</si>
  <si>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</si>
  <si>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</si>
  <si>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</si>
  <si>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</si>
  <si>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</si>
  <si>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</si>
  <si>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</si>
  <si>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</si>
  <si>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</si>
  <si>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</si>
  <si>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</si>
  <si>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</si>
  <si>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</si>
  <si>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</si>
  <si>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</si>
  <si>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</si>
  <si>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</si>
  <si>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</si>
  <si>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</si>
  <si>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</si>
  <si>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</si>
  <si>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</si>
  <si>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</si>
  <si>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</si>
  <si>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</si>
  <si>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</si>
  <si>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</si>
  <si>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</si>
  <si>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</si>
  <si>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</si>
  <si>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</si>
  <si>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</si>
  <si>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</si>
  <si>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</si>
  <si>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</si>
  <si>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</si>
  <si>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</si>
  <si>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</si>
  <si>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</si>
  <si>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</si>
  <si>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</si>
  <si>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</si>
  <si>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</si>
  <si>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</si>
  <si>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</si>
  <si>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</si>
  <si>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</si>
  <si>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</si>
  <si>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</si>
  <si>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</si>
  <si>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</si>
  <si>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</si>
  <si>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</si>
  <si>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</si>
  <si>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</si>
  <si>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</si>
  <si>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</si>
  <si>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</si>
  <si>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</si>
  <si>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</si>
  <si>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</si>
  <si>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</si>
  <si>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</si>
  <si>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</si>
  <si>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</si>
  <si>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</si>
  <si>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</si>
  <si>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</si>
  <si>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</si>
  <si>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</si>
  <si>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</si>
  <si>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</si>
  <si>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</si>
  <si>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</si>
  <si>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</si>
  <si>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</si>
  <si>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</si>
  <si>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</si>
  <si>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</si>
  <si>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</si>
  <si>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</si>
  <si>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</si>
  <si>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</si>
  <si>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</si>
  <si>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</si>
  <si>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</si>
  <si>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</si>
  <si>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</si>
  <si>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</si>
  <si>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</si>
  <si>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</si>
  <si>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</si>
  <si>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</si>
  <si>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</si>
  <si>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</si>
  <si>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</si>
  <si>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</si>
  <si>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</si>
  <si>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</si>
  <si>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</si>
  <si>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</si>
  <si>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</si>
  <si>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</si>
  <si>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</si>
  <si>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</si>
  <si>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</si>
  <si>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</si>
  <si>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</si>
  <si>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</si>
  <si>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</si>
  <si>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</si>
  <si>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</si>
  <si>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</si>
  <si>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</si>
  <si>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</si>
  <si>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</si>
  <si>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</si>
  <si>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</si>
  <si>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</si>
  <si>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</si>
  <si>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</si>
  <si>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</si>
  <si>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</si>
  <si>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</si>
  <si>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</si>
  <si>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</si>
  <si>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</si>
  <si>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</si>
  <si>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</si>
  <si>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</si>
  <si>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</si>
  <si>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</si>
  <si>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</si>
  <si>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</si>
  <si>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</si>
  <si>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</si>
  <si>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</si>
  <si>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</si>
  <si>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</si>
  <si>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</si>
  <si>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</si>
  <si>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</si>
  <si>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</si>
  <si>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</si>
  <si>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</si>
  <si>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</si>
  <si>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</si>
  <si>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</si>
  <si>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</si>
  <si>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</si>
  <si>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</si>
  <si>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</si>
  <si>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</si>
  <si>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</si>
  <si>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</si>
  <si>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</si>
  <si>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</si>
  <si>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</si>
  <si>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</si>
  <si>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</si>
  <si>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</si>
  <si>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</si>
  <si>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</si>
  <si>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</si>
  <si>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</si>
  <si>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</si>
  <si>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</si>
  <si>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</si>
  <si>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</si>
  <si>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</si>
  <si>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</si>
  <si>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</si>
  <si>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</si>
  <si>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</si>
  <si>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</si>
  <si>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</si>
  <si>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</si>
  <si>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</si>
  <si>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</si>
  <si>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</si>
  <si>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</si>
  <si>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</si>
  <si>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</si>
  <si>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</si>
  <si>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</si>
  <si>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</si>
  <si>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</si>
  <si>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</si>
  <si>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</si>
  <si>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</si>
  <si>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</si>
  <si>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</si>
  <si>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</si>
  <si>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</si>
  <si>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</si>
  <si>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</si>
  <si>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</si>
  <si>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</si>
  <si>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</si>
  <si>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</si>
  <si>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</si>
  <si>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</si>
  <si>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</si>
  <si>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</si>
  <si>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</si>
  <si>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</si>
  <si>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</si>
  <si>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</si>
  <si>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</si>
  <si>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</si>
  <si>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</si>
  <si>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</si>
  <si>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</si>
  <si>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</si>
  <si>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</si>
  <si>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</si>
  <si>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</si>
  <si>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</si>
  <si>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</si>
  <si>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</si>
  <si>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</si>
  <si>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</si>
  <si>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</si>
  <si>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</si>
  <si>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</si>
  <si>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</si>
  <si>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</si>
  <si>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</si>
  <si>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</si>
  <si>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</si>
  <si>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</si>
  <si>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</si>
  <si>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</si>
  <si>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</si>
  <si>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</si>
  <si>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</si>
  <si>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</si>
  <si>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</si>
  <si>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</si>
  <si>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</si>
  <si>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</si>
  <si>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</si>
  <si>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</si>
  <si>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</si>
  <si>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</si>
  <si>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</si>
  <si>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</si>
  <si>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</si>
  <si>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</si>
  <si>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</si>
  <si>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</si>
  <si>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</si>
  <si>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</si>
  <si>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</si>
  <si>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</si>
  <si>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</si>
  <si>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</si>
  <si>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</si>
  <si>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</si>
  <si>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</si>
  <si>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</si>
  <si>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</si>
  <si>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</si>
  <si>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</si>
  <si>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</si>
  <si>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</si>
  <si>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</si>
  <si>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</si>
  <si>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</si>
  <si>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</si>
  <si>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</si>
  <si>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</si>
  <si>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</si>
  <si>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</si>
  <si>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</si>
  <si>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</si>
  <si>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</si>
  <si>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</si>
  <si>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</si>
  <si>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</si>
  <si>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</si>
  <si>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</si>
  <si>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</si>
  <si>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</si>
  <si>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</si>
  <si>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</si>
  <si>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</si>
  <si>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</si>
  <si>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</si>
  <si>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</si>
  <si>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</si>
  <si>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</si>
  <si>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</si>
  <si>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</si>
  <si>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</si>
  <si>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</si>
  <si>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</si>
  <si>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</si>
  <si>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</si>
  <si>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</si>
  <si>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</si>
  <si>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</si>
  <si>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</si>
  <si>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</si>
  <si>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</si>
  <si>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</si>
  <si>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</si>
  <si>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</si>
  <si>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</si>
  <si>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</si>
  <si>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</si>
  <si>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</si>
  <si>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</si>
  <si>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</si>
  <si>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</si>
  <si>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</si>
  <si>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</si>
  <si>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</si>
  <si>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</si>
  <si>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</si>
  <si>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</si>
  <si>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</si>
  <si>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</si>
  <si>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</si>
  <si>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</si>
  <si>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</si>
  <si>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</si>
  <si>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</si>
  <si>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</si>
  <si>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</si>
  <si>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</si>
  <si>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</si>
  <si>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</si>
  <si>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</si>
  <si>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</si>
  <si>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</si>
  <si>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</si>
  <si>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</si>
  <si>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</si>
  <si>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</si>
  <si>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</si>
  <si>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</si>
  <si>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</si>
  <si>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</si>
  <si>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</si>
  <si>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</si>
  <si>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</si>
  <si>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</si>
  <si>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</si>
  <si>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</si>
  <si>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</si>
  <si>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</si>
  <si>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</si>
  <si>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</si>
  <si>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</si>
  <si>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</si>
  <si>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</si>
  <si>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</si>
  <si>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</si>
  <si>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</si>
  <si>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</si>
  <si>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</si>
  <si>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</si>
  <si>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</si>
  <si>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</si>
  <si>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</si>
  <si>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</si>
  <si>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</si>
  <si>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</si>
  <si>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</si>
  <si>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</si>
  <si>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</si>
  <si>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</si>
  <si>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</si>
  <si>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</si>
  <si>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</si>
  <si>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</si>
  <si>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</si>
  <si>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</si>
  <si>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</si>
  <si>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</si>
  <si>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</si>
  <si>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</si>
  <si>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</si>
  <si>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</si>
  <si>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</si>
  <si>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</si>
  <si>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</si>
  <si>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</si>
  <si>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</si>
  <si>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</si>
  <si>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</si>
  <si>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</si>
  <si>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</si>
  <si>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</si>
  <si>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</si>
  <si>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</si>
  <si>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</si>
  <si>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</si>
  <si>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</si>
  <si>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</si>
  <si>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</si>
  <si>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</si>
  <si>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</si>
  <si>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</si>
  <si>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</si>
  <si>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</si>
  <si>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</si>
  <si>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</si>
  <si>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</si>
  <si>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</si>
  <si>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</si>
  <si>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</si>
  <si>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</si>
  <si>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</si>
  <si>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</si>
  <si>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</si>
  <si>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</si>
  <si>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</si>
  <si>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</si>
  <si>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</si>
  <si>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</si>
  <si>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</si>
  <si>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</si>
  <si>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</si>
  <si>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</si>
  <si>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</si>
  <si>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</si>
  <si>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</si>
  <si>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</si>
  <si>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</si>
  <si>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</si>
  <si>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</si>
  <si>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</si>
  <si>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</si>
  <si>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</si>
  <si>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</si>
  <si>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</si>
  <si>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</si>
  <si>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</si>
  <si>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</si>
  <si>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</si>
  <si>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</si>
  <si>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</si>
  <si>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</si>
  <si>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</si>
  <si>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</si>
  <si>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</si>
  <si>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</si>
  <si>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</si>
  <si>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</si>
  <si>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</si>
  <si>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</si>
  <si>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</si>
  <si>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</si>
  <si>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</si>
  <si>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</si>
  <si>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</si>
  <si>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</si>
  <si>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</si>
  <si>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</si>
  <si>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</si>
  <si>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</si>
  <si>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</si>
  <si>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</si>
  <si>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</si>
  <si>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</si>
  <si>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</si>
  <si>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</si>
  <si>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</si>
  <si>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</si>
  <si>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</si>
  <si>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</si>
  <si>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</si>
  <si>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</si>
  <si>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</si>
  <si>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</si>
  <si>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</si>
  <si>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</si>
  <si>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</si>
  <si>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</si>
  <si>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</si>
  <si>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</si>
  <si>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</si>
  <si>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</si>
  <si>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</si>
  <si>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</si>
  <si>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</si>
  <si>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</si>
  <si>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</si>
  <si>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</si>
  <si>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</si>
  <si>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</si>
  <si>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</si>
  <si>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</si>
  <si>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</si>
  <si>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</si>
  <si>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</si>
  <si>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</si>
  <si>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</si>
  <si>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</si>
  <si>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</si>
  <si>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</si>
  <si>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</si>
  <si>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</si>
  <si>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</si>
  <si>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</si>
  <si>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</si>
  <si>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</si>
  <si>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</si>
  <si>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</si>
  <si>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</si>
  <si>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</si>
  <si>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</si>
  <si>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</si>
  <si>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</si>
  <si>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</si>
  <si>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</si>
  <si>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</si>
  <si>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</si>
  <si>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</si>
  <si>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</si>
  <si>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</si>
  <si>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</si>
  <si>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</si>
  <si>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</si>
  <si>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</si>
  <si>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</si>
  <si>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</si>
  <si>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</si>
  <si>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</si>
  <si>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</si>
  <si>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</si>
  <si>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</si>
  <si>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</si>
  <si>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</si>
  <si>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</si>
  <si>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</si>
  <si>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</si>
  <si>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</si>
  <si>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</si>
  <si>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</si>
  <si>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</si>
  <si>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</si>
  <si>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</si>
  <si>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</si>
  <si>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</si>
  <si>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</si>
  <si>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</si>
  <si>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</si>
  <si>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</si>
  <si>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</si>
  <si>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</si>
  <si>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</si>
  <si>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</si>
  <si>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</si>
  <si>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</si>
  <si>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</si>
  <si>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</si>
  <si>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</si>
  <si>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</si>
  <si>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</si>
  <si>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</si>
  <si>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</si>
  <si>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</si>
  <si>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</si>
  <si>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</si>
  <si>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</si>
  <si>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</si>
  <si>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</si>
  <si>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</si>
  <si>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</si>
  <si>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</si>
  <si>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</si>
  <si>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</si>
  <si>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</si>
  <si>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</si>
  <si>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</si>
  <si>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</si>
  <si>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</si>
  <si>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</si>
  <si>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</si>
  <si>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</si>
  <si>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</si>
  <si>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</si>
  <si>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</si>
  <si>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</si>
  <si>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</si>
  <si>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</si>
  <si>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</si>
  <si>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</si>
  <si>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</si>
  <si>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</si>
  <si>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</si>
  <si>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</si>
  <si>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</si>
  <si>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</si>
  <si>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</si>
  <si>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</si>
  <si>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</si>
  <si>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</si>
  <si>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</si>
  <si>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</si>
  <si>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</si>
  <si>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</si>
  <si>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</si>
  <si>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</si>
  <si>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</si>
  <si>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</si>
  <si>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</si>
  <si>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</si>
  <si>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</si>
  <si>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</si>
  <si>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</si>
  <si>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</si>
  <si>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</si>
  <si>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</si>
  <si>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</si>
  <si>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</si>
  <si>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</si>
  <si>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</si>
  <si>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</si>
  <si>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</si>
  <si>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</si>
  <si>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</si>
  <si>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</si>
  <si>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</si>
  <si>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</si>
  <si>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</si>
  <si>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</si>
  <si>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</si>
  <si>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</si>
  <si>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</si>
  <si>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</si>
  <si>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</si>
  <si>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</si>
  <si>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</si>
  <si>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</si>
  <si>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</si>
  <si>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</si>
  <si>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</si>
  <si>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</si>
  <si>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</si>
  <si>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</si>
  <si>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</si>
  <si>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</si>
  <si>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</si>
  <si>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</si>
  <si>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</si>
  <si>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</si>
  <si>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</si>
  <si>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</si>
  <si>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</si>
  <si>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</si>
  <si>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</si>
  <si>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</si>
  <si>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</si>
  <si>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</si>
  <si>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</si>
  <si>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</si>
  <si>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</si>
  <si>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</si>
  <si>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</si>
  <si>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</si>
  <si>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</si>
  <si>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</si>
  <si>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</si>
  <si>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</si>
  <si>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</si>
  <si>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</si>
  <si>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</si>
  <si>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</si>
  <si>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</si>
  <si>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</si>
  <si>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</si>
  <si>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</si>
  <si>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</si>
  <si>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</si>
  <si>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</si>
  <si>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</si>
  <si>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</si>
  <si>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</si>
  <si>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</si>
  <si>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</si>
  <si>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</si>
  <si>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</si>
  <si>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</si>
  <si>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</si>
  <si>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</si>
  <si>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</si>
  <si>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</si>
  <si>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</si>
  <si>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</si>
  <si>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</si>
  <si>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</si>
  <si>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</si>
  <si>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</si>
  <si>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</si>
  <si>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</si>
  <si>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</si>
  <si>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</si>
  <si>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</si>
  <si>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</si>
  <si>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</si>
  <si>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</si>
  <si>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</si>
  <si>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</si>
  <si>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</si>
  <si>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</si>
  <si>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</si>
  <si>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</si>
  <si>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</si>
  <si>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</si>
  <si>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</si>
  <si>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</si>
  <si>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</si>
  <si>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</si>
  <si>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</si>
  <si>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</si>
  <si>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</si>
  <si>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</si>
  <si>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</si>
  <si>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</si>
  <si>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</si>
  <si>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</si>
  <si>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</si>
  <si>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</si>
  <si>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</si>
  <si>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</si>
  <si>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</si>
  <si>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</si>
  <si>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</si>
  <si>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</si>
  <si>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</si>
  <si>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</si>
  <si>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</si>
  <si>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</si>
  <si>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</si>
  <si>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</si>
  <si>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</si>
  <si>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</si>
  <si>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</si>
  <si>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</si>
  <si>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</si>
  <si>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</si>
  <si>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</si>
  <si>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</si>
  <si>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</si>
  <si>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</si>
  <si>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</si>
  <si>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</si>
  <si>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</si>
  <si>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</si>
  <si>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</si>
  <si>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</si>
  <si>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</si>
  <si>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</si>
  <si>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</si>
  <si>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</si>
  <si>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</si>
  <si>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</si>
  <si>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</si>
  <si>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</si>
  <si>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</si>
  <si>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</si>
  <si>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</si>
  <si>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</si>
  <si>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</si>
  <si>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</si>
  <si>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</si>
  <si>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</si>
  <si>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</si>
  <si>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</si>
  <si>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</si>
  <si>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</si>
  <si>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</si>
  <si>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</si>
  <si>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</si>
  <si>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</si>
  <si>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</si>
  <si>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</si>
  <si>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</si>
  <si>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</si>
  <si>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</si>
  <si>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</si>
  <si>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</si>
  <si>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</si>
  <si>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</si>
  <si>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</si>
  <si>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</si>
  <si>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</si>
  <si>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</si>
  <si>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</si>
  <si>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</si>
  <si>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</si>
  <si>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</si>
  <si>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</si>
  <si>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</si>
  <si>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</si>
  <si>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</si>
  <si>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</si>
  <si>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</si>
  <si>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</si>
  <si>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</si>
  <si>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</si>
  <si>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</si>
  <si>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</si>
  <si>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</si>
  <si>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</si>
  <si>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</si>
  <si>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</si>
  <si>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</si>
  <si>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</si>
  <si>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</si>
  <si>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</si>
  <si>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</si>
  <si>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</si>
  <si>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</si>
  <si>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</si>
  <si>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</si>
  <si>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</si>
  <si>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</si>
  <si>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</si>
  <si>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</si>
  <si>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</si>
  <si>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</si>
  <si>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</si>
  <si>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</si>
  <si>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</si>
  <si>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</si>
  <si>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</si>
  <si>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</si>
  <si>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</si>
  <si>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</si>
  <si>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</si>
  <si>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</si>
  <si>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</si>
  <si>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</si>
  <si>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</si>
  <si>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</si>
  <si>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</si>
  <si>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</si>
  <si>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</si>
  <si>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</si>
  <si>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</si>
  <si>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</si>
  <si>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</si>
  <si>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</si>
  <si>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</si>
  <si>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</si>
  <si>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</si>
  <si>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</si>
  <si>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</si>
  <si>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</si>
  <si>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</si>
  <si>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</si>
  <si>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</si>
  <si>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</si>
  <si>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</si>
  <si>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</si>
  <si>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</si>
  <si>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</si>
  <si>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</si>
  <si>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</si>
  <si>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</si>
  <si>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</si>
  <si>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</si>
  <si>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</si>
  <si>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</si>
  <si>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</si>
  <si>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</si>
  <si>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</si>
  <si>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</si>
  <si>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</si>
  <si>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</si>
  <si>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</si>
  <si>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</si>
  <si>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</si>
  <si>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</si>
  <si>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</si>
  <si>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</si>
  <si>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</si>
  <si>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</si>
  <si>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</si>
  <si>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</si>
  <si>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</si>
  <si>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</si>
  <si>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</si>
  <si>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</si>
  <si>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</si>
  <si>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</si>
  <si>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</si>
  <si>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</si>
  <si>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</si>
  <si>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</si>
  <si>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</si>
  <si>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</si>
  <si>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</si>
  <si>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</si>
  <si>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</si>
  <si>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</si>
  <si>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</si>
  <si>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</si>
  <si>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</si>
  <si>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</si>
  <si>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</si>
  <si>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</si>
  <si>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</si>
  <si>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</si>
  <si>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</si>
  <si>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</si>
  <si>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</si>
  <si>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</si>
  <si>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</si>
  <si>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</si>
  <si>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</si>
  <si>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</si>
  <si>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</si>
  <si>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</si>
  <si>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</si>
  <si>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</si>
  <si>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</si>
  <si>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</si>
  <si>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</si>
  <si>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</si>
  <si>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</si>
  <si>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</si>
  <si>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</si>
  <si>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</si>
  <si>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</si>
  <si>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</si>
  <si>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</si>
  <si>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</si>
  <si>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</si>
  <si>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</si>
  <si>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</si>
  <si>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</si>
  <si>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</si>
  <si>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</si>
  <si>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</si>
  <si>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</si>
  <si>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</si>
  <si>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</si>
  <si>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</si>
  <si>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</si>
  <si>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</si>
  <si>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</si>
  <si>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</si>
  <si>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</si>
  <si>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</si>
  <si>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</si>
  <si>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</si>
  <si>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</si>
  <si>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</si>
  <si>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</si>
  <si>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</si>
  <si>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</si>
  <si>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</si>
  <si>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</si>
  <si>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</si>
  <si>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</si>
  <si>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</si>
  <si>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</si>
  <si>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</si>
  <si>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</si>
  <si>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</si>
  <si>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</si>
  <si>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</si>
  <si>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</si>
  <si>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</si>
  <si>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</si>
  <si>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</si>
  <si>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</si>
  <si>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</si>
  <si>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</si>
  <si>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</si>
  <si>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</si>
  <si>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</si>
  <si>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</si>
  <si>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</si>
  <si>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</si>
  <si>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</si>
  <si>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</si>
  <si>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</si>
  <si>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</si>
  <si>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</si>
  <si>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</si>
  <si>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</si>
  <si>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</si>
  <si>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</si>
  <si>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</si>
  <si>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</si>
  <si>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</si>
  <si>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</si>
  <si>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</si>
  <si>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</si>
  <si>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</si>
  <si>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</si>
  <si>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</si>
  <si>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</si>
  <si>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</si>
  <si>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</si>
  <si>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</si>
  <si>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</si>
  <si>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</si>
  <si>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</si>
  <si>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</si>
  <si>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</si>
  <si>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</si>
  <si>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</si>
  <si>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</si>
  <si>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</si>
  <si>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</si>
  <si>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</si>
  <si>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</si>
  <si>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</si>
  <si>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</si>
  <si>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</si>
  <si>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</si>
  <si>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</si>
  <si>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</si>
  <si>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</si>
  <si>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</si>
  <si>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</si>
  <si>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</si>
  <si>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</si>
  <si>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</si>
  <si>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</si>
  <si>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</si>
  <si>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</si>
  <si>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</si>
  <si>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</si>
  <si>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</si>
  <si>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</si>
  <si>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</si>
  <si>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</si>
  <si>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</si>
  <si>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</si>
  <si>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</si>
  <si>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</si>
  <si>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</si>
  <si>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</si>
  <si>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</si>
  <si>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</si>
  <si>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</si>
  <si>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</si>
  <si>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</si>
  <si>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</si>
  <si>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</si>
  <si>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</si>
  <si>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</si>
  <si>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</si>
  <si>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</si>
  <si>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</si>
  <si>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</si>
  <si>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</si>
  <si>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</si>
  <si>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</si>
  <si>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</si>
  <si>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</si>
  <si>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</si>
  <si>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</si>
  <si>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</si>
  <si>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</si>
  <si>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</si>
  <si>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</si>
  <si>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</si>
  <si>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</si>
  <si>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</si>
  <si>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</si>
  <si>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</si>
  <si>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</si>
  <si>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</si>
  <si>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</si>
  <si>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</si>
  <si>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</si>
  <si>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</si>
  <si>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</si>
  <si>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</si>
  <si>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</si>
  <si>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</si>
  <si>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</si>
  <si>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</si>
  <si>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</si>
  <si>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</si>
  <si>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</si>
  <si>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</si>
  <si>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</si>
  <si>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</si>
  <si>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</si>
  <si>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</si>
  <si>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</si>
  <si>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</si>
  <si>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</si>
  <si>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</si>
  <si>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</si>
  <si>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</si>
  <si>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</si>
  <si>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</si>
  <si>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</si>
  <si>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</si>
  <si>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</si>
  <si>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</si>
  <si>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</si>
  <si>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</si>
  <si>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</si>
  <si>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</si>
  <si>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</si>
  <si>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</si>
  <si>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</si>
  <si>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</si>
  <si>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</si>
  <si>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</si>
  <si>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</si>
  <si>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</si>
  <si>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</si>
  <si>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</si>
  <si>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</si>
  <si>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</si>
  <si>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</si>
  <si>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</si>
  <si>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</si>
  <si>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</si>
  <si>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</si>
  <si>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</si>
  <si>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</si>
  <si>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</si>
  <si>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</si>
  <si>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</si>
  <si>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</si>
  <si>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</si>
  <si>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</si>
  <si>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</si>
  <si>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</si>
  <si>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</si>
  <si>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</si>
  <si>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</si>
  <si>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</si>
  <si>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</si>
  <si>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</si>
  <si>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</si>
  <si>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</si>
  <si>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</si>
  <si>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</si>
  <si>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</si>
  <si>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</si>
  <si>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</si>
  <si>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</si>
  <si>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</si>
  <si>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</si>
  <si>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</si>
  <si>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</si>
  <si>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</si>
  <si>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</si>
  <si>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</si>
  <si>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</si>
  <si>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</si>
  <si>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</si>
  <si>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</si>
  <si>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</si>
  <si>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</si>
  <si>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</si>
  <si>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</si>
  <si>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</si>
  <si>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</si>
  <si>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</si>
  <si>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</si>
  <si>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</si>
  <si>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</si>
  <si>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</si>
  <si>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</si>
  <si>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</si>
  <si>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</si>
  <si>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</si>
  <si>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</si>
  <si>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</si>
  <si>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</si>
  <si>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</si>
  <si>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</si>
  <si>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</si>
  <si>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</si>
  <si>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</si>
  <si>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</si>
  <si>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</si>
  <si>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</si>
  <si>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</si>
  <si>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</si>
  <si>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</si>
  <si>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</si>
  <si>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</si>
  <si>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</si>
  <si>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</si>
  <si>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</si>
  <si>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</si>
  <si>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</si>
  <si>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</si>
  <si>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</si>
  <si>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</si>
  <si>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</si>
  <si>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</si>
  <si>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</si>
  <si>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</si>
  <si>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</si>
  <si>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</si>
  <si>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</si>
  <si>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</si>
  <si>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</si>
  <si>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</si>
  <si>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</si>
  <si>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</si>
  <si>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</si>
  <si>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</si>
  <si>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</si>
  <si>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</si>
  <si>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</si>
  <si>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</si>
  <si>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</si>
  <si>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</si>
  <si>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</si>
  <si>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</si>
  <si>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</si>
  <si>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</si>
  <si>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</si>
  <si>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</si>
  <si>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</si>
  <si>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</si>
  <si>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</si>
  <si>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</si>
  <si>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</si>
  <si>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</si>
  <si>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</si>
  <si>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</si>
  <si>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</si>
  <si>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</si>
  <si>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</si>
  <si>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</si>
  <si>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</si>
  <si>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</si>
  <si>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</si>
  <si>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</si>
  <si>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</si>
  <si>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</si>
  <si>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</si>
  <si>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</si>
  <si>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</si>
  <si>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</si>
  <si>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</si>
  <si>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</si>
  <si>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</si>
  <si>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</si>
  <si>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</si>
  <si>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</si>
  <si>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</si>
  <si>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</si>
  <si>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</si>
  <si>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</si>
  <si>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</si>
  <si>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</si>
  <si>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</si>
  <si>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</si>
  <si>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</si>
  <si>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</si>
  <si>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</si>
  <si>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</si>
  <si>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</si>
  <si>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</si>
  <si>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</si>
  <si>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</si>
  <si>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</si>
  <si>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</si>
  <si>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</si>
  <si>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</si>
  <si>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</si>
  <si>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</si>
  <si>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</si>
  <si>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</si>
  <si>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</si>
  <si>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</si>
  <si>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</si>
  <si>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</si>
  <si>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</si>
  <si>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</si>
  <si>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</si>
  <si>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</si>
  <si>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</si>
  <si>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</si>
  <si>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</si>
  <si>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</si>
  <si>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</si>
  <si>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</si>
  <si>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</si>
  <si>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</si>
  <si>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</si>
  <si>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</si>
  <si>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</si>
  <si>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</si>
  <si>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</si>
  <si>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</si>
  <si>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</si>
  <si>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</si>
  <si>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</si>
  <si>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</si>
  <si>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</si>
  <si>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</si>
  <si>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</si>
  <si>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</si>
  <si>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</si>
  <si>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</si>
  <si>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</si>
  <si>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</si>
  <si>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</si>
  <si>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</si>
  <si>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</si>
  <si>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</si>
  <si>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</si>
  <si>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</si>
  <si>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</si>
  <si>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</si>
  <si>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</si>
  <si>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</si>
  <si>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</si>
  <si>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</si>
  <si>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</si>
  <si>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</si>
  <si>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</si>
  <si>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</si>
  <si>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</si>
  <si>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</si>
  <si>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</si>
  <si>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</si>
  <si>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</si>
  <si>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</si>
  <si>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</si>
  <si>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</si>
  <si>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</si>
  <si>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</si>
  <si>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</si>
  <si>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</si>
  <si>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</si>
  <si>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</si>
  <si>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</si>
  <si>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</si>
  <si>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</si>
  <si>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</si>
  <si>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</si>
  <si>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</si>
  <si>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</si>
  <si>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</si>
  <si>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</si>
  <si>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</si>
  <si>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</si>
  <si>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</si>
  <si>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</si>
  <si>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</si>
  <si>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</si>
  <si>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</si>
  <si>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</si>
  <si>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</si>
  <si>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</si>
  <si>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</si>
  <si>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</si>
  <si>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</si>
  <si>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</si>
  <si>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</si>
  <si>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</si>
  <si>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</si>
  <si>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</si>
  <si>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</si>
  <si>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</si>
  <si>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</si>
  <si>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</si>
  <si>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</si>
  <si>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</si>
  <si>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</si>
  <si>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</si>
  <si>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</si>
  <si>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</si>
  <si>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</si>
  <si>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</si>
  <si>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</si>
  <si>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</si>
  <si>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</si>
  <si>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</si>
  <si>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</si>
  <si>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</si>
  <si>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</si>
  <si>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</si>
  <si>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</si>
  <si>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</si>
  <si>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</si>
  <si>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</si>
  <si>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</si>
  <si>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</si>
  <si>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</si>
  <si>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</si>
  <si>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</si>
  <si>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</si>
  <si>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</si>
  <si>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</si>
  <si>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</si>
  <si>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</si>
  <si>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</si>
  <si>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</si>
  <si>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</si>
  <si>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</si>
  <si>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</si>
  <si>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</si>
  <si>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</si>
  <si>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</si>
  <si>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</si>
  <si>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</si>
  <si>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</si>
  <si>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</si>
  <si>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</si>
  <si>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</si>
  <si>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</si>
  <si>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</si>
  <si>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</si>
  <si>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</si>
  <si>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</si>
  <si>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</si>
  <si>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</si>
  <si>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</si>
  <si>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</si>
  <si>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</si>
  <si>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</si>
  <si>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</si>
  <si>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</si>
  <si>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</si>
  <si>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</si>
  <si>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</si>
  <si>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</si>
  <si>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</si>
  <si>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</si>
  <si>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</si>
  <si>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</si>
  <si>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</si>
  <si>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</si>
  <si>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</si>
  <si>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</si>
  <si>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</si>
  <si>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</si>
  <si>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</si>
  <si>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</si>
  <si>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</si>
  <si>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</si>
  <si>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</si>
  <si>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</si>
  <si>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</si>
  <si>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</si>
  <si>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</si>
  <si>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</si>
  <si>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</si>
  <si>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</si>
  <si>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</si>
  <si>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</si>
  <si>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</si>
  <si>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</si>
  <si>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</si>
  <si>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</si>
  <si>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</si>
  <si>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</si>
  <si>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</si>
  <si>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</si>
  <si>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</si>
  <si>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</si>
  <si>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</si>
  <si>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</si>
  <si>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</si>
  <si>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</si>
  <si>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</si>
  <si>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</si>
  <si>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</si>
  <si>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</si>
  <si>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</si>
  <si>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</si>
  <si>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</si>
  <si>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</si>
  <si>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</si>
  <si>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</si>
  <si>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</si>
  <si>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</si>
  <si>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</si>
  <si>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</si>
  <si>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</si>
  <si>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</si>
  <si>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</si>
  <si>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</si>
  <si>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</si>
  <si>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</si>
  <si>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</si>
  <si>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</si>
  <si>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</si>
  <si>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</si>
  <si>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</si>
  <si>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</si>
  <si>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</si>
  <si>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</si>
  <si>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</si>
  <si>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</si>
  <si>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</si>
  <si>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</si>
  <si>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</si>
  <si>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</si>
  <si>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</si>
  <si>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</si>
  <si>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</si>
  <si>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</si>
  <si>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</si>
  <si>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</si>
  <si>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</si>
  <si>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</si>
  <si>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</si>
  <si>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</si>
  <si>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</si>
  <si>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</si>
  <si>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</si>
  <si>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</si>
  <si>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</si>
  <si>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</si>
  <si>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</si>
  <si>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</si>
  <si>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</si>
  <si>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</si>
  <si>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</si>
  <si>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</si>
  <si>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</si>
  <si>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</si>
  <si>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</si>
  <si>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</si>
  <si>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</si>
  <si>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</si>
  <si>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</si>
  <si>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</si>
  <si>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</si>
  <si>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</si>
  <si>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</si>
  <si>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</si>
  <si>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</si>
  <si>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</si>
  <si>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</si>
  <si>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</si>
  <si>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</si>
  <si>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</si>
  <si>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</si>
  <si>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</si>
  <si>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</si>
  <si>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</si>
  <si>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</si>
  <si>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</si>
  <si>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</si>
  <si>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</si>
  <si>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</si>
  <si>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</si>
  <si>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</si>
  <si>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</si>
  <si>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</si>
  <si>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</si>
  <si>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</si>
  <si>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</si>
  <si>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</si>
  <si>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</si>
  <si>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</si>
  <si>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</si>
  <si>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</si>
  <si>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</si>
  <si>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</si>
  <si>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</si>
  <si>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</si>
  <si>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</si>
  <si>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</si>
  <si>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</si>
  <si>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</si>
  <si>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</si>
  <si>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</si>
  <si>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</si>
  <si>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</si>
  <si>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</si>
  <si>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</si>
  <si>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</si>
  <si>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</si>
  <si>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</si>
  <si>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</si>
  <si>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</si>
  <si>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</si>
  <si>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</si>
  <si>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</si>
  <si>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</si>
  <si>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</si>
  <si>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</si>
  <si>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</si>
  <si>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</si>
  <si>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</si>
  <si>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</si>
  <si>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</si>
  <si>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</si>
  <si>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</si>
  <si>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</si>
  <si>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</si>
  <si>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</si>
  <si>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</si>
  <si>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</si>
  <si>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</si>
  <si>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</si>
  <si>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</si>
  <si>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</si>
  <si>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</si>
  <si>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</si>
  <si>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</si>
  <si>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</si>
  <si>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</si>
  <si>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</si>
  <si>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</si>
  <si>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</si>
  <si>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</si>
  <si>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</si>
  <si>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</si>
  <si>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</si>
  <si>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</si>
  <si>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</si>
  <si>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</si>
  <si>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</si>
  <si>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</si>
  <si>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</si>
  <si>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</si>
  <si>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</si>
  <si>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</si>
  <si>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</si>
  <si>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</si>
  <si>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</si>
  <si>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</si>
  <si>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</si>
  <si>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</si>
  <si>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</si>
  <si>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</si>
  <si>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</si>
  <si>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</si>
  <si>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</si>
  <si>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</si>
  <si>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</si>
  <si>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</si>
  <si>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</si>
  <si>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</si>
  <si>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</si>
  <si>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</si>
  <si>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</si>
  <si>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</si>
  <si>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</si>
  <si>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</si>
  <si>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</si>
  <si>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</si>
  <si>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</si>
  <si>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</si>
  <si>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</si>
  <si>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</si>
  <si>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</si>
  <si>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</si>
  <si>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</si>
  <si>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</si>
  <si>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</si>
  <si>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</si>
  <si>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</si>
  <si>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</si>
  <si>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</si>
  <si>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</si>
  <si>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</si>
  <si>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</si>
  <si>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</si>
  <si>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</si>
  <si>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</si>
  <si>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</si>
  <si>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</si>
  <si>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</si>
  <si>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</si>
  <si>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</si>
  <si>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</si>
  <si>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</si>
  <si>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</si>
  <si>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</si>
  <si>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</si>
  <si>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</si>
  <si>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</si>
  <si>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</si>
  <si>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</si>
  <si>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</si>
  <si>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</si>
  <si>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</si>
  <si>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</si>
  <si>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</si>
  <si>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</si>
  <si>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</si>
  <si>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</si>
  <si>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</si>
  <si>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</si>
  <si>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</si>
  <si>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</si>
  <si>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</si>
  <si>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</si>
  <si>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</si>
  <si>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</si>
  <si>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</si>
  <si>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</si>
  <si>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</si>
  <si>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</si>
  <si>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</si>
  <si>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</si>
  <si>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</si>
  <si>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</si>
  <si>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</si>
  <si>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</si>
  <si>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</si>
  <si>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</si>
  <si>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</si>
  <si>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</si>
  <si>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</si>
  <si>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</si>
  <si>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</si>
  <si>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</si>
  <si>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</si>
  <si>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</si>
  <si>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</si>
  <si>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</si>
  <si>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</si>
  <si>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</si>
  <si>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</si>
  <si>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</si>
  <si>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</si>
  <si>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</si>
  <si>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</si>
  <si>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</si>
  <si>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</si>
  <si>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</si>
  <si>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</si>
  <si>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</si>
  <si>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</si>
  <si>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</si>
  <si>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</si>
  <si>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</si>
  <si>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</si>
  <si>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</si>
  <si>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</si>
  <si>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</si>
  <si>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</si>
  <si>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</si>
  <si>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</si>
  <si>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</si>
  <si>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</si>
  <si>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</si>
  <si>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</si>
  <si>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</si>
  <si>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</si>
  <si>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</si>
  <si>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</si>
  <si>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</si>
  <si>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</si>
  <si>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</si>
  <si>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</si>
  <si>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</si>
  <si>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</si>
  <si>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</si>
  <si>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</si>
  <si>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</si>
  <si>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</si>
  <si>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</si>
  <si>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</si>
  <si>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</si>
  <si>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</si>
  <si>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</si>
  <si>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</si>
  <si>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</si>
  <si>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</si>
  <si>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</si>
  <si>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</si>
  <si>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</si>
  <si>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</si>
  <si>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</si>
  <si>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</si>
  <si>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</si>
  <si>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</si>
  <si>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</si>
  <si>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</si>
  <si>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</si>
  <si>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</si>
  <si>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</si>
  <si>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</si>
  <si>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</si>
  <si>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</si>
  <si>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</si>
  <si>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</si>
  <si>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</si>
  <si>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</si>
  <si>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</si>
  <si>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</si>
  <si>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</si>
  <si>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</si>
  <si>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</si>
  <si>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</si>
  <si>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</si>
  <si>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</si>
  <si>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</si>
  <si>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</si>
  <si>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</si>
  <si>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</si>
  <si>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</si>
  <si>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</si>
  <si>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</si>
  <si>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</si>
  <si>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</si>
  <si>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</si>
  <si>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</si>
  <si>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</si>
  <si>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</si>
  <si>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</si>
  <si>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</si>
  <si>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</si>
  <si>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</si>
  <si>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</si>
  <si>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</si>
  <si>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</si>
  <si>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</si>
  <si>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</si>
  <si>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</si>
  <si>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</si>
  <si>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</si>
  <si>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</si>
  <si>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</si>
  <si>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</si>
  <si>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</si>
  <si>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</si>
  <si>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</si>
  <si>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</si>
  <si>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</si>
  <si>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</si>
  <si>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</si>
  <si>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</si>
  <si>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</si>
  <si>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</si>
  <si>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</si>
  <si>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</si>
  <si>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</si>
  <si>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</si>
  <si>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</si>
  <si>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</si>
  <si>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</si>
  <si>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</si>
  <si>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</si>
  <si>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</si>
  <si>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</si>
  <si>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</si>
  <si>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</si>
  <si>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</si>
  <si>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</si>
  <si>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</si>
  <si>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</si>
  <si>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</si>
  <si>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</si>
  <si>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</si>
  <si>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</si>
  <si>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</si>
  <si>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</si>
  <si>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</si>
  <si>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</si>
  <si>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</si>
  <si>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</si>
  <si>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</si>
  <si>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</si>
  <si>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</si>
  <si>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</si>
  <si>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</si>
  <si>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</si>
  <si>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</si>
  <si>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</si>
  <si>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</si>
  <si>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</si>
  <si>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</si>
  <si>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</si>
  <si>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</si>
  <si>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</si>
  <si>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</si>
  <si>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</si>
  <si>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</si>
  <si>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</si>
  <si>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</si>
  <si>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</si>
  <si>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</si>
  <si>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</si>
  <si>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</si>
  <si>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</si>
  <si>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</si>
  <si>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</si>
  <si>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</si>
  <si>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</si>
  <si>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</si>
  <si>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</si>
  <si>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</si>
  <si>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</si>
  <si>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</si>
  <si>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</si>
  <si>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</si>
  <si>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</si>
  <si>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</si>
  <si>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</si>
  <si>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</si>
  <si>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</si>
  <si>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</si>
  <si>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</si>
  <si>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</si>
  <si>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</si>
  <si>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</si>
  <si>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</si>
  <si>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</si>
  <si>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</si>
  <si>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</si>
  <si>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</si>
  <si>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</si>
  <si>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</si>
  <si>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</si>
  <si>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</si>
  <si>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</si>
  <si>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</si>
  <si>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</si>
  <si>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</si>
  <si>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</si>
  <si>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</si>
  <si>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</si>
  <si>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</si>
  <si>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</si>
  <si>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</si>
  <si>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</si>
  <si>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</si>
  <si>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</si>
  <si>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</si>
  <si>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</si>
  <si>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</si>
  <si>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</si>
  <si>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</si>
  <si>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</si>
  <si>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</si>
  <si>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</si>
  <si>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</si>
  <si>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</si>
  <si>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</si>
  <si>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</si>
  <si>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</si>
  <si>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</si>
  <si>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</si>
  <si>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</si>
  <si>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</si>
  <si>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</si>
  <si>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</si>
  <si>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</si>
  <si>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</si>
  <si>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</si>
  <si>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</si>
  <si>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</si>
  <si>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</si>
  <si>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</si>
  <si>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</si>
  <si>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</si>
  <si>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</si>
  <si>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</si>
  <si>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</si>
  <si>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</si>
  <si>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</si>
  <si>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</si>
  <si>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</si>
  <si>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</si>
  <si>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</si>
  <si>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</si>
  <si>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</si>
  <si>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</si>
  <si>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</si>
  <si>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</si>
  <si>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</si>
  <si>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</si>
  <si>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</si>
  <si>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</si>
  <si>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</si>
  <si>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</si>
  <si>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</si>
  <si>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</si>
  <si>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</si>
  <si>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</si>
  <si>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</si>
  <si>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</si>
  <si>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</si>
  <si>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</si>
  <si>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</si>
  <si>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</si>
  <si>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</si>
  <si>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</si>
  <si>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</si>
  <si>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</si>
  <si>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</si>
  <si>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</si>
  <si>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</si>
  <si>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</si>
  <si>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</si>
  <si>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</si>
  <si>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</si>
  <si>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</si>
  <si>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</si>
  <si>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</si>
  <si>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</si>
  <si>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</si>
  <si>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</si>
  <si>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</si>
  <si>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</si>
  <si>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</si>
  <si>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</si>
  <si>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</si>
  <si>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</si>
  <si>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</si>
  <si>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</si>
  <si>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</si>
  <si>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</si>
  <si>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</si>
  <si>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</si>
  <si>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</si>
  <si>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</si>
  <si>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</si>
  <si>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</si>
  <si>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</si>
  <si>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</si>
  <si>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</si>
  <si>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</si>
  <si>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</si>
  <si>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</si>
  <si>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</si>
  <si>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</si>
  <si>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</si>
  <si>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</si>
  <si>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</si>
  <si>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</si>
  <si>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</si>
  <si>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</si>
  <si>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</si>
  <si>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</si>
  <si>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</si>
  <si>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</si>
  <si>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</si>
  <si>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</si>
  <si>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</si>
  <si>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</si>
  <si>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</si>
  <si>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</si>
  <si>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</si>
  <si>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</si>
  <si>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</si>
  <si>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</si>
  <si>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</si>
  <si>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</si>
  <si>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</si>
  <si>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</si>
  <si>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</si>
  <si>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</si>
  <si>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</si>
  <si>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</si>
  <si>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</si>
  <si>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</si>
  <si>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</si>
  <si>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</si>
  <si>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</si>
  <si>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</si>
  <si>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</si>
  <si>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</si>
  <si>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</si>
  <si>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</si>
  <si>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</si>
  <si>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</si>
  <si>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</si>
  <si>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</si>
  <si>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</si>
  <si>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</si>
  <si>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</si>
  <si>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</si>
  <si>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</si>
  <si>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</si>
  <si>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</si>
  <si>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</si>
  <si>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</si>
  <si>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</si>
  <si>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</si>
  <si>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</si>
  <si>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</si>
  <si>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</si>
  <si>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</si>
  <si>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</si>
  <si>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</si>
  <si>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</si>
  <si>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</si>
  <si>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</si>
  <si>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</si>
  <si>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</si>
  <si>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</si>
  <si>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</si>
  <si>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</si>
  <si>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</si>
  <si>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</si>
  <si>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</si>
  <si>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</si>
  <si>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</si>
  <si>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</si>
  <si>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</si>
  <si>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</si>
  <si>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</si>
  <si>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</si>
  <si>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</si>
  <si>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</si>
  <si>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</si>
  <si>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</si>
  <si>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</si>
  <si>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</si>
  <si>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</si>
  <si>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</si>
  <si>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</si>
  <si>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</si>
  <si>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</si>
  <si>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</si>
  <si>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</si>
  <si>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</si>
  <si>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</si>
  <si>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</si>
  <si>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</si>
  <si>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</si>
  <si>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</si>
  <si>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</si>
  <si>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</si>
  <si>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</si>
  <si>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</si>
  <si>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</si>
  <si>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</si>
  <si>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</si>
  <si>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</si>
  <si>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</si>
  <si>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</si>
  <si>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</si>
  <si>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</si>
  <si>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</si>
  <si>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</si>
  <si>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</si>
  <si>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</si>
  <si>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</si>
  <si>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</si>
  <si>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</si>
  <si>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</si>
  <si>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</si>
  <si>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</si>
  <si>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</si>
  <si>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</si>
  <si>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</si>
  <si>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</si>
  <si>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</si>
  <si>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</si>
  <si>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</si>
  <si>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</si>
  <si>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</si>
  <si>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</si>
  <si>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</si>
  <si>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</si>
  <si>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</si>
  <si>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</si>
  <si>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</si>
  <si>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</si>
  <si>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</si>
  <si>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</si>
  <si>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</si>
  <si>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</si>
  <si>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</si>
  <si>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</si>
  <si>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</si>
  <si>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</si>
  <si>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</si>
  <si>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</si>
  <si>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</si>
  <si>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</si>
  <si>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</si>
  <si>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</si>
  <si>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</si>
  <si>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</si>
  <si>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</si>
  <si>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</si>
  <si>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</si>
  <si>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</si>
  <si>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</si>
  <si>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</si>
  <si>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</si>
  <si>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</si>
  <si>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</si>
  <si>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</si>
  <si>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</si>
  <si>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</si>
  <si>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</si>
  <si>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</si>
  <si>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</si>
  <si>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</si>
  <si>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</si>
  <si>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</si>
  <si>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</si>
  <si>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</si>
  <si>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</si>
  <si>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</si>
  <si>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</si>
  <si>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</si>
  <si>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</si>
  <si>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</si>
  <si>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</si>
  <si>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</si>
  <si>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</si>
  <si>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</si>
  <si>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</si>
  <si>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</si>
  <si>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</si>
  <si>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</si>
  <si>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</si>
  <si>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</si>
  <si>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</si>
  <si>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</si>
  <si>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</si>
  <si>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</si>
  <si>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</si>
  <si>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</si>
  <si>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</si>
  <si>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</si>
  <si>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</si>
  <si>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</si>
  <si>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</si>
  <si>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</si>
  <si>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</si>
  <si>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</si>
  <si>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</si>
  <si>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</si>
  <si>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</si>
  <si>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</si>
  <si>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</si>
  <si>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</si>
  <si>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</si>
  <si>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</si>
  <si>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</si>
  <si>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</si>
  <si>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</si>
  <si>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</si>
  <si>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</si>
  <si>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</si>
  <si>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</si>
  <si>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</si>
  <si>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</si>
  <si>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</si>
  <si>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</si>
  <si>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</si>
  <si>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</si>
  <si>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</si>
  <si>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</si>
  <si>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</si>
  <si>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</si>
  <si>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</si>
  <si>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</si>
  <si>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</si>
  <si>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</si>
  <si>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</si>
  <si>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</si>
  <si>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</si>
  <si>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</si>
  <si>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</si>
  <si>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</si>
  <si>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</si>
  <si>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</si>
  <si>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</si>
  <si>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</si>
  <si>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</si>
  <si>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</si>
  <si>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</si>
  <si>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</si>
  <si>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</si>
  <si>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</si>
  <si>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</si>
  <si>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</si>
  <si>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</si>
  <si>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</si>
  <si>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</si>
  <si>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</si>
  <si>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</si>
  <si>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</si>
  <si>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</si>
  <si>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</si>
  <si>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</si>
  <si>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</si>
  <si>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</si>
  <si>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</si>
  <si>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</si>
  <si>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</si>
  <si>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</si>
  <si>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</si>
  <si>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</si>
  <si>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</si>
  <si>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</si>
  <si>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</si>
  <si>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</si>
  <si>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</si>
  <si>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</si>
  <si>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</si>
  <si>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</si>
  <si>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</si>
  <si>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</si>
  <si>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</si>
  <si>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</si>
  <si>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</si>
  <si>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</si>
  <si>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</si>
  <si>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</si>
  <si>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</si>
  <si>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</si>
  <si>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</si>
  <si>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</si>
  <si>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</si>
  <si>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</si>
  <si>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</si>
  <si>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</si>
  <si>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</si>
  <si>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</si>
  <si>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</si>
  <si>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</si>
  <si>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</si>
  <si>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</si>
  <si>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</si>
  <si>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</si>
  <si>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</si>
  <si>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</si>
  <si>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</si>
  <si>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</si>
  <si>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</si>
  <si>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</si>
  <si>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</si>
  <si>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</si>
  <si>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</si>
  <si>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</si>
  <si>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</si>
  <si>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</si>
  <si>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</si>
  <si>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</si>
  <si>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</si>
  <si>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</si>
  <si>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</si>
  <si>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</si>
  <si>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</si>
  <si>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</si>
  <si>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</si>
  <si>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</si>
  <si>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</si>
  <si>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</si>
  <si>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</si>
  <si>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</si>
  <si>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</si>
  <si>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</si>
  <si>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</si>
  <si>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</si>
  <si>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</si>
  <si>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</si>
  <si>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</si>
  <si>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</si>
  <si>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</si>
  <si>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</si>
  <si>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</si>
  <si>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</si>
  <si>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</si>
  <si>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</si>
  <si>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</si>
  <si>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</si>
  <si>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</si>
  <si>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</si>
  <si>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</si>
  <si>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</si>
  <si>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</si>
  <si>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</si>
  <si>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</si>
  <si>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</si>
  <si>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</si>
  <si>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</si>
  <si>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</si>
  <si>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</si>
  <si>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</si>
  <si>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</si>
  <si>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</si>
  <si>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</si>
  <si>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</si>
  <si>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</si>
  <si>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</si>
  <si>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</si>
  <si>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</si>
  <si>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</si>
  <si>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</si>
  <si>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</si>
  <si>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</si>
  <si>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</si>
  <si>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</si>
  <si>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</si>
  <si>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</si>
  <si>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</si>
  <si>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</si>
  <si>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</si>
  <si>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</si>
  <si>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</si>
  <si>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</si>
  <si>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</si>
  <si>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</si>
  <si>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</si>
  <si>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</si>
  <si>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</si>
  <si>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</si>
  <si>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</si>
  <si>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</si>
  <si>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</si>
  <si>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</si>
  <si>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</si>
  <si>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</si>
  <si>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</si>
  <si>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</si>
  <si>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</si>
  <si>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</si>
  <si>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</si>
  <si>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</si>
  <si>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</si>
  <si>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</si>
  <si>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</si>
  <si>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</si>
  <si>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</si>
  <si>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</si>
  <si>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</si>
  <si>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</si>
  <si>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</si>
  <si>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</si>
  <si>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</si>
  <si>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</si>
  <si>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</si>
  <si>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</si>
  <si>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</si>
  <si>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</si>
  <si>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</si>
  <si>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</si>
  <si>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</si>
  <si>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</si>
  <si>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</si>
  <si>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</si>
  <si>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</si>
  <si>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</si>
  <si>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</si>
  <si>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</si>
  <si>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</si>
  <si>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</si>
  <si>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</si>
  <si>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</si>
  <si>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</si>
  <si>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</si>
  <si>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</si>
  <si>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</si>
  <si>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</si>
  <si>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</si>
  <si>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</si>
  <si>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</si>
  <si>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</si>
  <si>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</si>
  <si>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</si>
  <si>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</si>
  <si>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</si>
  <si>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</si>
  <si>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</si>
  <si>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</si>
  <si>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</si>
  <si>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</si>
  <si>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</si>
  <si>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</si>
  <si>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</si>
  <si>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</si>
  <si>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</si>
  <si>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</si>
  <si>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</si>
  <si>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</si>
  <si>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</si>
  <si>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</si>
  <si>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</si>
  <si>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</si>
  <si>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</si>
  <si>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</si>
  <si>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</si>
  <si>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</si>
  <si>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</si>
  <si>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</si>
  <si>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</si>
  <si>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</si>
  <si>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</si>
  <si>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</si>
  <si>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</si>
  <si>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</si>
  <si>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</si>
  <si>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</si>
  <si>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</si>
  <si>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</si>
  <si>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</si>
  <si>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</si>
  <si>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</si>
  <si>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</si>
  <si>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</si>
  <si>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</si>
  <si>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</si>
  <si>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</si>
  <si>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</si>
  <si>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</si>
  <si>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</si>
  <si>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</si>
  <si>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</si>
  <si>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</si>
  <si>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</si>
  <si>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</si>
  <si>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</si>
  <si>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</si>
  <si>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</si>
  <si>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</si>
  <si>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</si>
  <si>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</si>
  <si>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</si>
  <si>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</si>
  <si>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</si>
  <si>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</si>
  <si>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</si>
  <si>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</si>
  <si>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</si>
  <si>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</si>
  <si>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</si>
  <si>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</si>
  <si>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</si>
  <si>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</si>
  <si>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</si>
  <si>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</si>
  <si>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</si>
  <si>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</si>
  <si>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</si>
  <si>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</si>
  <si>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</si>
  <si>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</si>
  <si>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</si>
  <si>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</si>
  <si>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</si>
  <si>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</si>
  <si>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</si>
  <si>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</si>
  <si>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</si>
  <si>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</si>
  <si>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</si>
  <si>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</si>
  <si>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</si>
  <si>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</si>
  <si>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</si>
  <si>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</si>
  <si>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</si>
  <si>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</si>
  <si>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</si>
  <si>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</si>
  <si>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</si>
  <si>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</si>
  <si>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</si>
  <si>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</si>
  <si>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</si>
  <si>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</si>
  <si>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</si>
  <si>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</si>
  <si>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</si>
  <si>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</si>
  <si>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</si>
  <si>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</si>
  <si>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</si>
  <si>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</si>
  <si>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</si>
  <si>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</si>
  <si>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</si>
  <si>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</si>
  <si>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</si>
  <si>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</si>
  <si>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</si>
  <si>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</si>
  <si>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</si>
  <si>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</si>
  <si>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</si>
  <si>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</si>
  <si>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</si>
  <si>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</si>
  <si>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</si>
  <si>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</si>
  <si>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</si>
  <si>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</si>
  <si>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</si>
  <si>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</si>
  <si>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</si>
  <si>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</si>
  <si>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</si>
  <si>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</si>
  <si>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</si>
  <si>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</si>
  <si>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</si>
  <si>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</si>
  <si>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</si>
  <si>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</si>
  <si>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</si>
  <si>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</si>
  <si>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</si>
  <si>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</si>
  <si>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</si>
  <si>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</si>
  <si>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</si>
  <si>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</si>
  <si>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</si>
  <si>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</si>
  <si>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</si>
  <si>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</si>
  <si>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</si>
  <si>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</si>
  <si>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</si>
  <si>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</si>
  <si>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</si>
  <si>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</si>
  <si>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</si>
  <si>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</si>
  <si>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</si>
  <si>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</si>
  <si>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</si>
  <si>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</si>
  <si>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</si>
  <si>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</si>
  <si>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</si>
  <si>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</si>
  <si>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</si>
  <si>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</si>
  <si>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</si>
  <si>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</si>
  <si>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</si>
  <si>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</si>
  <si>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</si>
  <si>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</si>
  <si>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</si>
  <si>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</si>
  <si>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</si>
  <si>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</si>
  <si>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</si>
  <si>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</si>
  <si>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</si>
  <si>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</si>
  <si>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</si>
  <si>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</si>
  <si>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</si>
  <si>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</si>
  <si>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</si>
  <si>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</si>
  <si>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</si>
  <si>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</si>
  <si>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</si>
  <si>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</si>
  <si>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</si>
  <si>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</si>
  <si>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</si>
  <si>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</si>
  <si>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</si>
  <si>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</si>
  <si>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</si>
  <si>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</si>
  <si>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</si>
  <si>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</si>
  <si>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</si>
  <si>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</si>
  <si>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</si>
  <si>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</si>
  <si>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</si>
  <si>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</si>
  <si>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</si>
  <si>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</si>
  <si>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</si>
  <si>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</si>
  <si>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</si>
  <si>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</si>
  <si>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</si>
  <si>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</si>
  <si>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</si>
  <si>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</si>
  <si>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</si>
  <si>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</si>
  <si>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</si>
  <si>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</si>
  <si>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</si>
  <si>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</si>
  <si>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</si>
  <si>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</si>
  <si>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</si>
  <si>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</si>
  <si>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</si>
  <si>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</si>
  <si>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</si>
  <si>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</si>
  <si>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</si>
  <si>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</si>
  <si>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</si>
  <si>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</si>
  <si>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</si>
  <si>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</si>
  <si>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</si>
  <si>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</si>
  <si>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</si>
  <si>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</si>
  <si>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</si>
  <si>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</si>
  <si>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</si>
  <si>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</si>
  <si>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</si>
  <si>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</si>
  <si>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</si>
  <si>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</si>
  <si>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</si>
  <si>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</si>
  <si>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</si>
  <si>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</si>
  <si>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</si>
  <si>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</si>
  <si>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</si>
  <si>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</si>
  <si>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</si>
  <si>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</si>
  <si>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</si>
  <si>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</si>
  <si>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</si>
  <si>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</si>
  <si>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</si>
  <si>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</si>
  <si>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</si>
  <si>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</si>
  <si>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</si>
  <si>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</si>
  <si>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</si>
  <si>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</si>
  <si>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</si>
  <si>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</si>
  <si>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</si>
  <si>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</si>
  <si>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</si>
  <si>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</si>
  <si>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</si>
  <si>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</si>
  <si>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</si>
  <si>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</si>
  <si>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</si>
  <si>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</si>
  <si>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</si>
  <si>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</si>
  <si>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</si>
  <si>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</si>
  <si>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</si>
  <si>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</si>
  <si>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</si>
  <si>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</si>
  <si>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</si>
  <si>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</si>
  <si>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</si>
  <si>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</si>
  <si>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</si>
  <si>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</si>
  <si>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</si>
  <si>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</si>
  <si>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</si>
  <si>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</si>
  <si>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</si>
  <si>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</si>
  <si>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</si>
  <si>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</si>
  <si>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</si>
  <si>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</si>
  <si>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</si>
  <si>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</si>
  <si>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</si>
  <si>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</si>
  <si>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</si>
  <si>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</si>
  <si>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</si>
  <si>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</si>
  <si>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</si>
  <si>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</si>
  <si>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</si>
  <si>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</si>
  <si>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</si>
  <si>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</si>
  <si>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</si>
  <si>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</si>
  <si>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</si>
  <si>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</si>
  <si>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</si>
  <si>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</si>
  <si>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</si>
  <si>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</si>
  <si>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</si>
  <si>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</si>
  <si>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</si>
  <si>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</si>
  <si>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</si>
  <si>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</si>
  <si>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</si>
  <si>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</si>
  <si>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</si>
  <si>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</si>
  <si>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</si>
  <si>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</si>
  <si>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</si>
  <si>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</si>
  <si>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</si>
  <si>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</si>
  <si>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</si>
  <si>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</si>
  <si>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</si>
  <si>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</si>
  <si>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</si>
  <si>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</si>
  <si>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</si>
  <si>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</si>
  <si>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</si>
  <si>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</si>
  <si>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</si>
  <si>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</si>
  <si>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</si>
  <si>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</si>
  <si>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</si>
  <si>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</si>
  <si>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</si>
  <si>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</si>
  <si>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</si>
  <si>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</si>
  <si>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</si>
  <si>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</si>
  <si>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</si>
  <si>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</si>
  <si>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</si>
  <si>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</si>
  <si>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</si>
  <si>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</si>
  <si>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</si>
  <si>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</si>
  <si>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</si>
  <si>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</si>
  <si>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</si>
  <si>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</si>
  <si>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</si>
  <si>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</si>
  <si>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</si>
  <si>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</si>
  <si>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</si>
  <si>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</si>
  <si>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</si>
  <si>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</si>
  <si>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</si>
  <si>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</si>
  <si>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</si>
  <si>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</si>
  <si>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</si>
  <si>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</si>
  <si>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</si>
  <si>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</si>
  <si>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</si>
  <si>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</si>
  <si>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</si>
  <si>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</si>
  <si>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</si>
  <si>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</si>
  <si>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</si>
  <si>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</si>
  <si>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</si>
  <si>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</si>
  <si>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</si>
  <si>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</si>
  <si>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</si>
  <si>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</si>
  <si>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</si>
  <si>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</si>
  <si>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</si>
  <si>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</si>
  <si>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</si>
  <si>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</si>
  <si>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</si>
  <si>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</si>
  <si>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</si>
  <si>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</si>
  <si>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</si>
  <si>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</si>
  <si>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</si>
  <si>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</si>
  <si>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</si>
  <si>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</si>
  <si>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</si>
  <si>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</si>
  <si>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</si>
  <si>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</si>
  <si>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</si>
  <si>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</si>
  <si>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</si>
  <si>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</si>
  <si>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</si>
  <si>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</si>
  <si>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</si>
  <si>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</si>
  <si>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</si>
  <si>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</si>
  <si>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</si>
  <si>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</si>
  <si>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</si>
  <si>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</si>
  <si>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</si>
  <si>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</si>
  <si>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</si>
  <si>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</si>
  <si>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</si>
  <si>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</si>
  <si>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</si>
  <si>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</si>
  <si>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</si>
  <si>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</si>
  <si>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</si>
  <si>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</si>
  <si>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</si>
  <si>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</si>
  <si>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</si>
  <si>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</si>
  <si>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</si>
  <si>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</si>
  <si>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</si>
  <si>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</si>
  <si>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</si>
  <si>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</si>
  <si>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</si>
  <si>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</si>
  <si>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</si>
  <si>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</si>
  <si>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</si>
  <si>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</si>
  <si>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</si>
  <si>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</si>
  <si>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</si>
  <si>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</si>
  <si>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</si>
  <si>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</si>
  <si>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</si>
  <si>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</si>
  <si>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</si>
  <si>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</si>
  <si>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</si>
  <si>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</si>
  <si>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</si>
  <si>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</si>
  <si>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</si>
  <si>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</si>
  <si>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</si>
  <si>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</si>
  <si>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</si>
  <si>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</si>
  <si>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</si>
  <si>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</si>
  <si>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</si>
  <si>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</si>
  <si>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</si>
  <si>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</si>
  <si>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</si>
  <si>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</si>
  <si>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</si>
  <si>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</si>
  <si>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</si>
  <si>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</si>
  <si>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</si>
  <si>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</si>
  <si>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</si>
  <si>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</si>
  <si>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</si>
  <si>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</si>
  <si>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</si>
  <si>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</si>
  <si>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</si>
  <si>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</si>
  <si>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</si>
  <si>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</si>
  <si>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</si>
  <si>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</si>
  <si>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</si>
  <si>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</si>
  <si>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</si>
  <si>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</si>
  <si>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</si>
  <si>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</si>
  <si>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</si>
  <si>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</si>
  <si>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</si>
  <si>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</si>
  <si>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</si>
  <si>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</si>
  <si>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</si>
  <si>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</si>
  <si>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</si>
  <si>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</si>
  <si>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</si>
  <si>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</si>
  <si>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</si>
  <si>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</si>
  <si>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</si>
  <si>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</si>
  <si>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</si>
  <si>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</si>
  <si>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</si>
  <si>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</si>
  <si>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</si>
  <si>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</si>
  <si>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</si>
  <si>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</si>
  <si>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</si>
  <si>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</si>
  <si>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</si>
  <si>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</si>
  <si>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</si>
  <si>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</si>
  <si>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</si>
  <si>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</si>
  <si>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</si>
  <si>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</si>
  <si>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</si>
  <si>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</si>
  <si>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</si>
  <si>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</si>
  <si>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</si>
  <si>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</si>
  <si>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</si>
  <si>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</si>
  <si>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</si>
  <si>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</si>
  <si>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</si>
  <si>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</si>
  <si>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</si>
  <si>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</si>
  <si>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</si>
  <si>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</si>
  <si>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</si>
  <si>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</si>
  <si>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</si>
  <si>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</si>
  <si>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</si>
  <si>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</si>
  <si>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</si>
  <si>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</si>
  <si>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</si>
  <si>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</si>
  <si>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</si>
  <si>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</si>
  <si>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</si>
  <si>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</si>
  <si>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</si>
  <si>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</si>
  <si>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</si>
  <si>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</si>
  <si>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</si>
  <si>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</si>
  <si>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</si>
  <si>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</si>
  <si>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</si>
  <si>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</si>
  <si>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</si>
  <si>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</si>
  <si>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</si>
  <si>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</si>
  <si>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</si>
  <si>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</si>
  <si>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</si>
  <si>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</si>
  <si>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</si>
  <si>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</si>
  <si>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</si>
  <si>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</si>
  <si>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</si>
  <si>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</si>
  <si>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</si>
  <si>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</si>
  <si>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</si>
  <si>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</si>
  <si>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</si>
  <si>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</si>
  <si>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</si>
  <si>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</si>
  <si>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</si>
  <si>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</si>
  <si>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</si>
  <si>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</si>
  <si>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</si>
  <si>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</si>
  <si>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</si>
  <si>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</si>
  <si>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</si>
  <si>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</si>
  <si>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</si>
  <si>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</si>
  <si>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</si>
  <si>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</si>
  <si>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</si>
  <si>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</si>
  <si>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</si>
  <si>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</si>
  <si>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</si>
  <si>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</si>
  <si>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</si>
  <si>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</si>
  <si>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</si>
  <si>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</si>
  <si>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</si>
  <si>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</si>
  <si>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</si>
  <si>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</si>
  <si>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</si>
  <si>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</si>
  <si>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</si>
  <si>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</si>
  <si>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</si>
  <si>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</si>
  <si>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</si>
  <si>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</si>
  <si>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</si>
  <si>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</si>
  <si>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</si>
  <si>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</si>
  <si>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</si>
  <si>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</si>
  <si>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</si>
  <si>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</si>
  <si>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</si>
  <si>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</si>
  <si>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</si>
  <si>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</si>
  <si>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</si>
  <si>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</si>
  <si>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</si>
  <si>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</si>
  <si>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</si>
  <si>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</si>
  <si>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</si>
  <si>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</si>
  <si>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</si>
  <si>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</si>
  <si>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</si>
  <si>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</si>
  <si>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</si>
  <si>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</si>
  <si>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</si>
  <si>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</si>
  <si>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</si>
  <si>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</si>
  <si>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</si>
  <si>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</si>
  <si>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</si>
  <si>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</si>
  <si>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</si>
  <si>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</si>
  <si>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</si>
  <si>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</si>
  <si>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</si>
  <si>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</si>
  <si>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</si>
  <si>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</si>
  <si>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</si>
  <si>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</si>
  <si>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</si>
  <si>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</si>
  <si>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</si>
  <si>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</si>
  <si>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</si>
  <si>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</si>
  <si>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</si>
  <si>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</si>
  <si>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</si>
  <si>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</si>
  <si>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</si>
  <si>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</si>
  <si>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</si>
  <si>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</si>
  <si>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</si>
  <si>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</si>
  <si>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</si>
  <si>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</si>
  <si>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</si>
  <si>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</si>
  <si>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</si>
  <si>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</si>
  <si>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</si>
  <si>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</si>
  <si>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</si>
  <si>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</si>
  <si>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</si>
  <si>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</si>
  <si>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</si>
  <si>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</si>
  <si>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</si>
  <si>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</si>
  <si>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</si>
  <si>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</si>
  <si>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</si>
  <si>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</si>
  <si>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</si>
  <si>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</si>
  <si>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</si>
  <si>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</si>
  <si>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</si>
  <si>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</si>
  <si>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</si>
  <si>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</si>
  <si>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</si>
  <si>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</si>
  <si>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</si>
  <si>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</si>
  <si>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</si>
  <si>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</si>
  <si>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</si>
  <si>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</si>
  <si>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</si>
  <si>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</si>
  <si>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</si>
  <si>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</si>
  <si>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</si>
  <si>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</si>
  <si>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</si>
  <si>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</si>
  <si>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</si>
  <si>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</si>
  <si>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</si>
  <si>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</si>
  <si>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</si>
  <si>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</si>
  <si>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</si>
  <si>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</si>
  <si>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</si>
  <si>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</si>
  <si>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</si>
  <si>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</si>
  <si>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</si>
  <si>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</si>
  <si>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</si>
  <si>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</si>
  <si>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</si>
  <si>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</si>
  <si>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</si>
  <si>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</si>
  <si>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</si>
  <si>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</si>
  <si>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</si>
  <si>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</si>
  <si>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</si>
  <si>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</si>
  <si>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</si>
  <si>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</si>
  <si>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</si>
  <si>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</si>
  <si>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</si>
  <si>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</si>
  <si>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</si>
  <si>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</si>
  <si>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</si>
  <si>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</si>
  <si>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</si>
  <si>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</si>
  <si>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</si>
  <si>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</si>
  <si>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</si>
  <si>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</si>
  <si>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</si>
  <si>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</si>
  <si>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</si>
  <si>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</si>
  <si>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</si>
  <si>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</si>
  <si>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</si>
  <si>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</si>
  <si>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</si>
  <si>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</si>
  <si>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</si>
  <si>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</si>
  <si>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</si>
  <si>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</si>
  <si>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</si>
  <si>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</si>
  <si>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</si>
  <si>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</si>
  <si>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</si>
  <si>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</si>
  <si>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</si>
  <si>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</si>
  <si>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</si>
  <si>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</si>
  <si>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</si>
  <si>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</si>
  <si>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</si>
  <si>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</si>
  <si>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</si>
  <si>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</si>
  <si>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</si>
  <si>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</si>
  <si>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</si>
  <si>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</si>
  <si>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</si>
  <si>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</si>
  <si>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</si>
  <si>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</si>
  <si>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</si>
  <si>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</si>
  <si>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</si>
  <si>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</si>
  <si>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</si>
  <si>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</si>
  <si>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</si>
  <si>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</si>
  <si>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</si>
  <si>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</si>
  <si>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</si>
  <si>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</si>
  <si>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</si>
  <si>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</si>
  <si>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</si>
  <si>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</si>
  <si>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</si>
  <si>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</si>
  <si>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</si>
  <si>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</si>
  <si>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</si>
  <si>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</si>
  <si>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</si>
  <si>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</si>
  <si>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</si>
  <si>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</si>
  <si>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</si>
  <si>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</si>
  <si>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</si>
  <si>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</si>
  <si>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</si>
  <si>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</si>
  <si>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</si>
  <si>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</si>
  <si>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</si>
  <si>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</si>
  <si>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</si>
  <si>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</si>
  <si>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</si>
  <si>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</si>
  <si>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</si>
  <si>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</si>
  <si>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</si>
  <si>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</si>
  <si>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</si>
  <si>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</si>
  <si>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</si>
  <si>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</si>
  <si>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</si>
  <si>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</si>
  <si>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</si>
  <si>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</si>
  <si>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</si>
  <si>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</si>
  <si>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</si>
  <si>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</si>
  <si>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</si>
  <si>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</si>
  <si>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</si>
  <si>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</si>
  <si>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</si>
  <si>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</si>
  <si>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</si>
  <si>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</si>
  <si>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</si>
  <si>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</si>
  <si>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</si>
  <si>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</si>
  <si>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</si>
  <si>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</si>
  <si>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</si>
  <si>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</si>
  <si>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</si>
  <si>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</si>
  <si>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</si>
  <si>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</si>
  <si>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</si>
  <si>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</si>
  <si>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</si>
  <si>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</si>
  <si>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</si>
  <si>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</si>
  <si>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</si>
  <si>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</si>
  <si>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</si>
  <si>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</si>
  <si>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</si>
  <si>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</si>
  <si>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</si>
  <si>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</si>
  <si>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</si>
  <si>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</si>
  <si>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</si>
  <si>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</si>
  <si>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</si>
  <si>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</si>
  <si>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</si>
  <si>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</si>
  <si>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</si>
  <si>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</si>
  <si>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</si>
  <si>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</si>
  <si>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</si>
  <si>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</si>
  <si>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</si>
  <si>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</si>
  <si>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</si>
  <si>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</si>
  <si>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</si>
  <si>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</si>
  <si>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</si>
  <si>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</si>
  <si>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</si>
  <si>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</si>
  <si>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</si>
  <si>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</si>
  <si>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</si>
  <si>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</si>
  <si>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</si>
  <si>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</si>
  <si>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</si>
  <si>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</si>
  <si>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</si>
  <si>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</si>
  <si>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</si>
  <si>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</si>
  <si>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</si>
  <si>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</si>
  <si>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</si>
  <si>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</si>
  <si>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</si>
  <si>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</si>
  <si>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</si>
  <si>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</si>
  <si>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</si>
  <si>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</si>
  <si>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</si>
  <si>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</si>
  <si>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</si>
  <si>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</si>
  <si>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</si>
  <si>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</si>
  <si>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</si>
  <si>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</si>
  <si>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</si>
  <si>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</si>
  <si>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</si>
  <si>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</si>
  <si>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</si>
  <si>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</si>
  <si>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</si>
  <si>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</si>
  <si>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</si>
  <si>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</si>
  <si>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</si>
  <si>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</si>
  <si>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</si>
  <si>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</si>
  <si>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</si>
  <si>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</si>
  <si>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</si>
  <si>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</si>
  <si>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</si>
  <si>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</si>
  <si>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</si>
  <si>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</si>
  <si>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</si>
  <si>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</si>
  <si>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</si>
  <si>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</si>
  <si>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</si>
  <si>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</si>
  <si>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</si>
  <si>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</si>
  <si>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</si>
  <si>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</si>
  <si>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</si>
  <si>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</si>
  <si>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</si>
  <si>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</si>
  <si>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</si>
  <si>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</si>
  <si>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</si>
  <si>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</si>
  <si>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</si>
  <si>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</si>
  <si>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</si>
  <si>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</si>
  <si>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</si>
  <si>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</si>
  <si>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</si>
  <si>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</si>
  <si>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</si>
  <si>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</si>
  <si>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</si>
  <si>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</si>
  <si>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</si>
  <si>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</si>
  <si>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</si>
  <si>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</si>
  <si>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</si>
  <si>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</si>
  <si>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</si>
  <si>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</si>
  <si>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</si>
  <si>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</si>
  <si>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</si>
  <si>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</si>
  <si>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</si>
  <si>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</si>
  <si>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</si>
  <si>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</si>
  <si>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</si>
  <si>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</si>
  <si>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</si>
  <si>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</si>
  <si>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</si>
  <si>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</si>
  <si>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</si>
  <si>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</si>
  <si>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</si>
  <si>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</si>
  <si>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</si>
  <si>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</si>
  <si>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</si>
  <si>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</si>
  <si>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</si>
  <si>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</si>
  <si>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</si>
  <si>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</si>
  <si>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</si>
  <si>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</si>
  <si>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</si>
  <si>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</si>
  <si>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</si>
  <si>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</si>
  <si>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</si>
  <si>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</si>
  <si>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</si>
  <si>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</si>
  <si>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</si>
  <si>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</si>
  <si>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</si>
  <si>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</si>
  <si>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</si>
  <si>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</si>
  <si>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</si>
  <si>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</si>
  <si>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</si>
  <si>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</si>
  <si>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</si>
  <si>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</si>
  <si>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</si>
  <si>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</si>
  <si>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</si>
  <si>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</si>
  <si>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</si>
  <si>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</si>
  <si>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</si>
  <si>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</si>
  <si>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</si>
  <si>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</si>
  <si>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</si>
  <si>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</si>
  <si>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</si>
  <si>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</si>
  <si>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</si>
  <si>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</si>
  <si>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</si>
  <si>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</si>
  <si>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</si>
  <si>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</si>
  <si>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</si>
  <si>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</si>
  <si>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</si>
  <si>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</si>
  <si>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</si>
  <si>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</si>
  <si>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</si>
  <si>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</si>
  <si>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</si>
  <si>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</si>
  <si>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</si>
  <si>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</si>
  <si>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</si>
  <si>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</si>
  <si>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</si>
  <si>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</si>
  <si>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</si>
  <si>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</si>
  <si>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</si>
  <si>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</si>
  <si>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</si>
  <si>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</si>
  <si>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</si>
  <si>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</si>
  <si>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</si>
  <si>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</si>
  <si>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</si>
  <si>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</si>
  <si>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</si>
  <si>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</si>
  <si>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</si>
  <si>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</si>
  <si>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</si>
  <si>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</si>
  <si>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</si>
  <si>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</si>
  <si>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</si>
  <si>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</si>
  <si>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</si>
  <si>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</si>
  <si>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</si>
  <si>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</si>
  <si>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</si>
  <si>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</si>
  <si>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</si>
  <si>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</si>
  <si>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</si>
  <si>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</si>
  <si>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</si>
  <si>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</si>
  <si>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</si>
  <si>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</si>
  <si>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</si>
  <si>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</si>
  <si>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</si>
  <si>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</si>
  <si>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</si>
  <si>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</si>
  <si>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</si>
  <si>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</si>
  <si>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</si>
  <si>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</si>
  <si>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</si>
  <si>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</si>
  <si>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</si>
  <si>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</si>
  <si>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</si>
  <si>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</si>
  <si>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</si>
  <si>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</si>
  <si>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</si>
  <si>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</si>
  <si>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</si>
  <si>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</si>
  <si>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</si>
  <si>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</si>
  <si>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</si>
  <si>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</si>
  <si>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</si>
  <si>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</si>
  <si>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</si>
  <si>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</si>
  <si>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</si>
  <si>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</si>
  <si>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</si>
  <si>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</si>
  <si>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</si>
  <si>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</si>
  <si>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</si>
  <si>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</si>
  <si>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</si>
  <si>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</si>
  <si>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</si>
  <si>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</si>
  <si>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</si>
  <si>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</si>
  <si>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</si>
  <si>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</si>
  <si>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</si>
  <si>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</si>
  <si>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</si>
  <si>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</si>
  <si>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</si>
  <si>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</si>
  <si>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</si>
  <si>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</si>
  <si>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</si>
  <si>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</si>
  <si>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</si>
  <si>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</si>
  <si>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</si>
  <si>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</si>
  <si>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</si>
  <si>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</si>
  <si>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</si>
  <si>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</si>
  <si>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</si>
  <si>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</si>
  <si>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</si>
  <si>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</si>
  <si>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</si>
  <si>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</si>
  <si>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</si>
  <si>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</si>
  <si>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</si>
  <si>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</si>
  <si>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</si>
  <si>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</si>
  <si>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</si>
  <si>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</si>
  <si>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</si>
  <si>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</si>
  <si>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</si>
  <si>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</si>
  <si>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</si>
  <si>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</si>
  <si>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</si>
  <si>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</si>
  <si>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</si>
  <si>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</si>
  <si>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</si>
  <si>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</si>
  <si>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</si>
  <si>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</si>
  <si>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</si>
  <si>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</si>
  <si>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</si>
  <si>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</si>
  <si>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</si>
  <si>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</si>
  <si>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</si>
  <si>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</si>
  <si>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</si>
  <si>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</si>
  <si>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</si>
  <si>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</si>
  <si>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</si>
  <si>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</si>
  <si>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</si>
  <si>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</si>
  <si>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</si>
  <si>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</si>
  <si>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</si>
  <si>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</si>
  <si>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</si>
  <si>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</si>
  <si>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</si>
  <si>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</si>
  <si>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</si>
  <si>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</si>
  <si>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</si>
  <si>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</si>
  <si>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</si>
  <si>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</si>
  <si>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</si>
  <si>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</si>
  <si>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</si>
  <si>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</si>
  <si>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</si>
  <si>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</si>
  <si>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</si>
  <si>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</si>
  <si>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</si>
  <si>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</si>
  <si>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</si>
  <si>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</si>
  <si>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</si>
  <si>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</si>
  <si>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</si>
  <si>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</si>
  <si>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</si>
  <si>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</si>
  <si>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</si>
  <si>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</si>
  <si>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</si>
  <si>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</si>
  <si>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</si>
  <si>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</si>
  <si>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</si>
  <si>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</si>
  <si>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</si>
  <si>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</si>
  <si>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</si>
  <si>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</si>
  <si>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</si>
  <si>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</si>
  <si>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</si>
  <si>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</si>
  <si>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</si>
  <si>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</si>
  <si>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</si>
  <si>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</si>
  <si>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</si>
  <si>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</si>
  <si>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</si>
  <si>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</si>
  <si>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</si>
  <si>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</si>
  <si>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</si>
  <si>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</si>
  <si>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</si>
  <si>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</si>
  <si>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</si>
  <si>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</si>
  <si>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</si>
  <si>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</si>
  <si>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</si>
  <si>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</si>
  <si>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</si>
  <si>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</si>
  <si>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</si>
  <si>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</si>
  <si>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</si>
  <si>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</si>
  <si>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</si>
  <si>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</si>
  <si>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</si>
  <si>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</si>
  <si>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</si>
  <si>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</si>
  <si>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</si>
  <si>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</si>
  <si>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</si>
  <si>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</si>
  <si>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</si>
  <si>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</si>
  <si>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</si>
  <si>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</si>
  <si>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</si>
  <si>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</si>
  <si>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</si>
  <si>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</si>
  <si>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</si>
  <si>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</si>
  <si>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</si>
  <si>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</si>
  <si>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</si>
  <si>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</si>
  <si>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</si>
  <si>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</si>
  <si>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</si>
  <si>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</si>
  <si>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</si>
  <si>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</si>
  <si>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</si>
  <si>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</si>
  <si>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</si>
  <si>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</si>
  <si>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</si>
  <si>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</si>
  <si>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</si>
  <si>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</si>
  <si>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</si>
  <si>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</si>
  <si>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</si>
  <si>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</si>
  <si>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</si>
  <si>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</si>
  <si>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</si>
  <si>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</si>
  <si>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</si>
  <si>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</si>
  <si>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</si>
  <si>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</si>
  <si>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</si>
  <si>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</si>
  <si>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</si>
  <si>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</si>
  <si>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</si>
  <si>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</si>
  <si>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</si>
  <si>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</si>
  <si>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</si>
  <si>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</si>
  <si>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</si>
  <si>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</si>
  <si>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</si>
  <si>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</si>
  <si>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</si>
  <si>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</si>
  <si>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</si>
  <si>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</si>
  <si>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</si>
  <si>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</si>
  <si>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</si>
  <si>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</si>
  <si>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</si>
  <si>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</si>
  <si>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</si>
  <si>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</si>
  <si>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</si>
  <si>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</si>
  <si>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</si>
  <si>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</si>
  <si>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</si>
  <si>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</si>
  <si>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</si>
  <si>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</si>
  <si>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</si>
  <si>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</si>
  <si>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</si>
  <si>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</si>
  <si>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</si>
  <si>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</si>
  <si>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</si>
  <si>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</si>
  <si>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</si>
  <si>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</si>
  <si>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</si>
  <si>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</si>
  <si>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</si>
  <si>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</si>
  <si>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</si>
  <si>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</si>
  <si>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</si>
  <si>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</si>
  <si>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</si>
  <si>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</si>
  <si>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</si>
  <si>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</si>
  <si>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</si>
  <si>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</si>
  <si>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</si>
  <si>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</si>
  <si>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</si>
  <si>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</si>
  <si>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</si>
  <si>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</si>
  <si>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</si>
  <si>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</si>
  <si>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</si>
  <si>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</si>
  <si>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</si>
  <si>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</si>
  <si>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</si>
  <si>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</si>
  <si>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</si>
  <si>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</si>
  <si>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</si>
  <si>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</si>
  <si>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</si>
  <si>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</si>
  <si>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</si>
  <si>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</si>
  <si>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</si>
  <si>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</si>
  <si>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</si>
  <si>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</si>
  <si>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</si>
  <si>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</si>
  <si>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</si>
  <si>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</si>
  <si>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</si>
  <si>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</si>
  <si>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</si>
  <si>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</si>
  <si>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</si>
  <si>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</si>
  <si>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</si>
  <si>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</si>
  <si>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</si>
  <si>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</si>
  <si>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</si>
  <si>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</si>
  <si>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</si>
  <si>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</si>
  <si>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</si>
  <si>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</si>
  <si>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</si>
  <si>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</si>
  <si>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</si>
  <si>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</si>
  <si>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</si>
  <si>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</si>
  <si>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</si>
  <si>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</si>
  <si>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</si>
  <si>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</si>
  <si>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</si>
  <si>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</si>
  <si>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</si>
  <si>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</si>
  <si>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</si>
  <si>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</si>
  <si>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</si>
  <si>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</si>
  <si>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</si>
  <si>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</si>
  <si>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</si>
  <si>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</si>
  <si>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</si>
  <si>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</si>
  <si>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</si>
  <si>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</si>
  <si>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</si>
  <si>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</si>
  <si>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</si>
  <si>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</si>
  <si>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</si>
  <si>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</si>
  <si>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</si>
  <si>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</si>
  <si>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</si>
  <si>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</si>
  <si>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</si>
  <si>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</si>
  <si>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</si>
  <si>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</si>
  <si>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</si>
  <si>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</si>
  <si>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</si>
  <si>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</si>
  <si>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</si>
  <si>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</si>
  <si>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</si>
  <si>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</si>
  <si>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</si>
  <si>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</si>
  <si>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</si>
  <si>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</si>
  <si>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</si>
  <si>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</si>
  <si>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</si>
  <si>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</si>
  <si>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</si>
  <si>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</si>
  <si>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</si>
  <si>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</si>
  <si>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</si>
  <si>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</si>
  <si>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</si>
  <si>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</si>
  <si>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</si>
  <si>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</si>
  <si>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</si>
  <si>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</si>
  <si>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</si>
  <si>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</si>
  <si>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</si>
  <si>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</si>
  <si>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</si>
  <si>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</si>
  <si>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</si>
  <si>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</si>
  <si>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</si>
  <si>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</si>
  <si>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</si>
  <si>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</si>
  <si>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</si>
  <si>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</si>
  <si>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</si>
  <si>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</si>
  <si>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</si>
  <si>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</si>
  <si>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</si>
  <si>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</si>
  <si>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</si>
  <si>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</si>
  <si>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</si>
  <si>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</si>
  <si>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</si>
  <si>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</si>
  <si>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</si>
  <si>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</si>
  <si>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</si>
  <si>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</si>
  <si>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</si>
  <si>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</si>
  <si>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</si>
  <si>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</si>
  <si>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</si>
  <si>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</si>
  <si>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</si>
  <si>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</si>
  <si>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</si>
  <si>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</si>
  <si>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</si>
  <si>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</si>
  <si>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</si>
  <si>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</si>
  <si>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</si>
  <si>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</si>
  <si>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</si>
  <si>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</si>
  <si>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</si>
  <si>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</si>
  <si>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</si>
  <si>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</si>
  <si>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</si>
  <si>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</si>
  <si>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</si>
  <si>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</si>
  <si>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</si>
  <si>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</si>
  <si>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</si>
  <si>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</si>
  <si>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</si>
  <si>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</si>
  <si>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</si>
  <si>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</si>
  <si>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</si>
  <si>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</si>
  <si>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</si>
  <si>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</si>
  <si>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</si>
  <si>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</si>
  <si>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</si>
  <si>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</si>
  <si>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</si>
  <si>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</si>
  <si>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</si>
  <si>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</si>
  <si>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</si>
  <si>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</si>
  <si>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</si>
  <si>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</si>
  <si>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</si>
  <si>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</si>
  <si>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</si>
  <si>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</si>
  <si>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</si>
  <si>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</si>
  <si>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</si>
  <si>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</si>
  <si>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</si>
  <si>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</si>
  <si>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</si>
  <si>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</si>
  <si>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</si>
  <si>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</si>
  <si>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</si>
  <si>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</si>
  <si>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</si>
  <si>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</si>
  <si>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</si>
  <si>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</si>
  <si>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</si>
  <si>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</si>
  <si>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</si>
  <si>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</si>
  <si>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</si>
  <si>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</si>
  <si>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</si>
  <si>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</si>
  <si>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</si>
  <si>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</si>
  <si>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</si>
  <si>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</si>
  <si>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</si>
  <si>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</si>
  <si>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</si>
  <si>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</si>
  <si>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</si>
  <si>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</si>
  <si>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</si>
  <si>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</si>
  <si>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</si>
  <si>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</si>
  <si>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</si>
  <si>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</si>
  <si>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</si>
  <si>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</si>
  <si>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</si>
  <si>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</si>
  <si>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</si>
  <si>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</si>
  <si>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</si>
  <si>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</si>
  <si>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</si>
  <si>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</si>
  <si>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</si>
  <si>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</si>
  <si>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</si>
  <si>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</si>
  <si>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</si>
  <si>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</si>
  <si>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</si>
  <si>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</si>
  <si>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</si>
  <si>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</si>
  <si>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</si>
  <si>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</si>
  <si>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</si>
  <si>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</si>
  <si>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</si>
  <si>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</si>
  <si>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</si>
  <si>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</si>
  <si>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</si>
  <si>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</si>
  <si>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</si>
  <si>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</si>
  <si>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</si>
  <si>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</si>
  <si>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</si>
  <si>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</si>
  <si>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</si>
  <si>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</si>
  <si>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</si>
  <si>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</si>
  <si>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</si>
  <si>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</si>
  <si>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</si>
  <si>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</si>
  <si>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</si>
  <si>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</si>
  <si>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</si>
  <si>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</si>
  <si>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</si>
  <si>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</si>
  <si>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</si>
  <si>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</si>
  <si>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</si>
  <si>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</si>
  <si>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</si>
  <si>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</si>
  <si>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</si>
  <si>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</si>
  <si>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</si>
  <si>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</si>
  <si>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</si>
  <si>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</si>
  <si>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</si>
  <si>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</si>
  <si>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</si>
  <si>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</si>
  <si>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</si>
  <si>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</si>
  <si>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</si>
  <si>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</si>
  <si>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</si>
  <si>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</si>
  <si>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</si>
  <si>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</si>
  <si>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</si>
  <si>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</si>
  <si>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</si>
  <si>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</si>
  <si>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</si>
  <si>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</si>
  <si>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</si>
  <si>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</si>
  <si>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</si>
  <si>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</si>
  <si>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</si>
  <si>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</si>
  <si>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</si>
  <si>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</si>
  <si>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</si>
  <si>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</si>
  <si>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</si>
  <si>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</si>
  <si>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</si>
  <si>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</si>
  <si>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</si>
  <si>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</si>
  <si>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</si>
  <si>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</si>
  <si>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</si>
  <si>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</si>
  <si>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</si>
  <si>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</si>
  <si>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</si>
  <si>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</si>
  <si>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</si>
  <si>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</si>
  <si>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</si>
  <si>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</si>
  <si>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</si>
  <si>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</si>
  <si>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</si>
  <si>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</si>
  <si>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</si>
  <si>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</si>
  <si>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</si>
  <si>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</si>
  <si>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</si>
  <si>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</si>
  <si>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</si>
  <si>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</si>
  <si>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</si>
  <si>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</si>
  <si>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</si>
  <si>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</si>
  <si>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</si>
  <si>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</si>
  <si>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</si>
  <si>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</si>
  <si>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</si>
  <si>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</si>
  <si>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</si>
  <si>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</si>
  <si>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</si>
  <si>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</si>
  <si>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</si>
  <si>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</si>
  <si>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</si>
  <si>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</si>
  <si>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</si>
  <si>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</si>
  <si>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</si>
  <si>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</si>
  <si>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</si>
  <si>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</si>
  <si>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</si>
  <si>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</si>
  <si>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</si>
  <si>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</si>
  <si>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</si>
  <si>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</si>
  <si>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</si>
  <si>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</si>
  <si>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</si>
  <si>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</si>
  <si>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</si>
  <si>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</si>
  <si>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</si>
  <si>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</si>
  <si>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</si>
  <si>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</si>
  <si>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</si>
  <si>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</si>
  <si>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</si>
  <si>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</si>
  <si>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</si>
  <si>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</si>
  <si>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</si>
  <si>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</si>
  <si>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</si>
  <si>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</si>
  <si>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</si>
  <si>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</si>
  <si>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</si>
  <si>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</si>
  <si>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</si>
  <si>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</si>
  <si>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</si>
  <si>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</si>
  <si>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</si>
  <si>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</si>
  <si>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</si>
  <si>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</si>
  <si>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</si>
  <si>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</si>
  <si>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</si>
  <si>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</si>
  <si>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</si>
  <si>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</si>
  <si>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</si>
  <si>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</si>
  <si>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</si>
  <si>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</si>
  <si>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</si>
  <si>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</si>
  <si>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</si>
  <si>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</si>
  <si>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</si>
  <si>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</si>
  <si>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</si>
  <si>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</si>
  <si>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</si>
  <si>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</si>
  <si>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</si>
  <si>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</si>
  <si>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</si>
  <si>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</si>
  <si>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</si>
  <si>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</si>
  <si>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</si>
  <si>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</si>
  <si>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</si>
  <si>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</si>
  <si>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</si>
  <si>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</si>
  <si>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</si>
  <si>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</si>
  <si>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</si>
  <si>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</si>
  <si>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</si>
  <si>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</si>
  <si>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</si>
  <si>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</si>
  <si>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</si>
  <si>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</si>
  <si>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</si>
  <si>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</si>
  <si>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</si>
  <si>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</si>
  <si>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</si>
  <si>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</si>
  <si>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</si>
  <si>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</si>
  <si>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</si>
  <si>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</si>
  <si>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</si>
  <si>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</si>
  <si>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</si>
  <si>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</si>
  <si>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</si>
  <si>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</si>
  <si>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</si>
  <si>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</si>
  <si>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</si>
  <si>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</si>
  <si>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</si>
  <si>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</si>
  <si>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</si>
  <si>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</si>
  <si>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</si>
  <si>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</si>
  <si>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</si>
  <si>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</si>
  <si>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</si>
  <si>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</si>
  <si>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</si>
  <si>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</si>
  <si>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</si>
  <si>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</si>
  <si>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</si>
  <si>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</si>
  <si>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</si>
  <si>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</si>
  <si>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</si>
  <si>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</si>
  <si>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</si>
  <si>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</si>
  <si>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</si>
  <si>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</si>
  <si>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</si>
  <si>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</si>
  <si>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</si>
  <si>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</si>
  <si>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</si>
  <si>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</si>
  <si>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</si>
  <si>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</si>
  <si>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</si>
  <si>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</si>
  <si>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</si>
  <si>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</si>
  <si>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</si>
  <si>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</si>
  <si>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</si>
  <si>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</si>
  <si>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</si>
  <si>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</si>
  <si>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</si>
  <si>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</si>
  <si>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</si>
  <si>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</si>
  <si>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</si>
  <si>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</si>
  <si>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</si>
  <si>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</si>
  <si>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</si>
  <si>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</si>
  <si>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</si>
  <si>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</si>
  <si>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</si>
  <si>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</si>
  <si>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</si>
  <si>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</si>
  <si>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</si>
  <si>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</si>
  <si>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</si>
  <si>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</si>
  <si>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</si>
  <si>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</si>
  <si>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</si>
  <si>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</si>
  <si>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</si>
  <si>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</si>
  <si>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</si>
  <si>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</si>
  <si>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</si>
  <si>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</si>
  <si>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</si>
  <si>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</si>
  <si>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</si>
  <si>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</si>
  <si>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</si>
  <si>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</si>
  <si>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</si>
  <si>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</si>
  <si>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</si>
  <si>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</si>
  <si>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</si>
  <si>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</si>
  <si>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</si>
  <si>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</si>
  <si>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</si>
  <si>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</si>
  <si>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</si>
  <si>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</si>
  <si>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</si>
  <si>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</si>
  <si>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</si>
  <si>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</si>
  <si>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</si>
  <si>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</si>
  <si>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</si>
  <si>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</si>
  <si>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</si>
  <si>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</si>
  <si>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</si>
  <si>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</si>
  <si>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</si>
  <si>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</si>
  <si>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</si>
  <si>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</si>
  <si>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</si>
  <si>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</si>
  <si>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</si>
  <si>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</si>
  <si>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</si>
  <si>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</si>
  <si>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</si>
  <si>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</si>
  <si>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</si>
  <si>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</si>
  <si>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</si>
  <si>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</si>
  <si>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</si>
  <si>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</si>
  <si>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</si>
  <si>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</si>
  <si>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</si>
  <si>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</si>
  <si>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</si>
  <si>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</si>
  <si>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</si>
  <si>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</si>
  <si>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</si>
  <si>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</si>
  <si>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</si>
  <si>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</si>
  <si>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</si>
  <si>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</si>
  <si>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</si>
  <si>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</si>
  <si>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</si>
  <si>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</si>
  <si>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</si>
  <si>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</si>
  <si>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</si>
  <si>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</si>
  <si>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</si>
  <si>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</si>
  <si>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</si>
  <si>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</si>
  <si>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</si>
  <si>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</si>
  <si>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</si>
  <si>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</si>
  <si>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</si>
  <si>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</si>
  <si>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</si>
  <si>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</si>
  <si>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</si>
  <si>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</si>
  <si>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</si>
  <si>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</si>
  <si>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</si>
  <si>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</si>
  <si>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</si>
  <si>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</si>
  <si>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</si>
  <si>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</si>
  <si>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</si>
  <si>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</si>
  <si>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</si>
  <si>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</si>
  <si>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</si>
  <si>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</si>
  <si>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</si>
  <si>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</si>
  <si>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</si>
  <si>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</si>
  <si>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</si>
  <si>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</si>
  <si>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</si>
  <si>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</si>
  <si>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</si>
  <si>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</si>
  <si>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</si>
  <si>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</si>
  <si>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</si>
  <si>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</si>
  <si>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</si>
  <si>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</si>
  <si>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</si>
  <si>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</si>
  <si>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</si>
  <si>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</si>
  <si>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</si>
  <si>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</si>
  <si>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</si>
  <si>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</si>
  <si>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</si>
  <si>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</si>
  <si>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</si>
  <si>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</si>
  <si>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</si>
  <si>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</si>
  <si>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</si>
  <si>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</si>
  <si>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</si>
  <si>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</si>
  <si>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</si>
  <si>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</si>
  <si>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</si>
  <si>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</si>
  <si>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</si>
  <si>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</si>
  <si>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</si>
  <si>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</si>
  <si>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</si>
  <si>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</si>
  <si>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</si>
  <si>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</si>
  <si>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</si>
  <si>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</si>
  <si>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</si>
  <si>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</si>
  <si>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</si>
  <si>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</si>
  <si>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</si>
  <si>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</si>
  <si>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</si>
  <si>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</si>
  <si>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</si>
  <si>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</si>
  <si>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</si>
  <si>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</si>
  <si>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</si>
  <si>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</si>
  <si>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</si>
  <si>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</si>
  <si>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</si>
  <si>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</si>
  <si>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</si>
  <si>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</si>
  <si>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</si>
  <si>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</si>
  <si>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</si>
  <si>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</si>
  <si>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</si>
  <si>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</si>
  <si>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</si>
  <si>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</si>
  <si>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</si>
  <si>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</si>
  <si>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</si>
  <si>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</si>
  <si>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</si>
  <si>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</si>
  <si>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</si>
  <si>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</si>
  <si>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</si>
  <si>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</si>
  <si>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</si>
  <si>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</si>
  <si>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</si>
  <si>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</si>
  <si>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</si>
  <si>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</si>
  <si>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</si>
  <si>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</si>
  <si>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</si>
  <si>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</si>
  <si>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</si>
  <si>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</si>
  <si>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</si>
  <si>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</si>
  <si>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</si>
  <si>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</si>
  <si>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</si>
  <si>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</si>
  <si>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</si>
  <si>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</si>
  <si>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</si>
  <si>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</si>
  <si>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</si>
  <si>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</si>
  <si>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</si>
  <si>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</si>
  <si>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</si>
  <si>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</si>
  <si>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</si>
  <si>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</si>
  <si>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</si>
  <si>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</si>
  <si>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</si>
  <si>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</si>
  <si>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</si>
  <si>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</si>
  <si>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</si>
  <si>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</si>
  <si>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</si>
  <si>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</si>
  <si>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</si>
  <si>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</si>
  <si>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</si>
  <si>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</si>
  <si>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</si>
  <si>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</si>
  <si>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</si>
  <si>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</si>
  <si>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</si>
  <si>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</si>
  <si>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</si>
  <si>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</si>
  <si>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</si>
  <si>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</si>
  <si>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</si>
  <si>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</si>
  <si>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</si>
  <si>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</si>
  <si>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</si>
  <si>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</si>
  <si>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</si>
  <si>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</si>
  <si>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</si>
  <si>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</si>
  <si>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</si>
  <si>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</si>
  <si>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</si>
  <si>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</si>
  <si>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</si>
  <si>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</si>
  <si>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</si>
  <si>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</si>
  <si>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</si>
  <si>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</si>
  <si>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</si>
  <si>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</si>
  <si>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</si>
  <si>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</si>
  <si>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</si>
  <si>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</si>
  <si>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</si>
  <si>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</si>
  <si>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</si>
  <si>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</si>
  <si>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</si>
  <si>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</si>
  <si>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</si>
  <si>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</si>
  <si>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</si>
  <si>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</si>
  <si>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</si>
  <si>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</si>
  <si>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</si>
  <si>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</si>
  <si>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</si>
  <si>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</si>
  <si>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</si>
  <si>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</si>
  <si>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</si>
  <si>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</si>
  <si>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</si>
  <si>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</si>
  <si>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</si>
  <si>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</si>
  <si>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</si>
  <si>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</si>
  <si>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</si>
  <si>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</si>
  <si>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</si>
  <si>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</si>
  <si>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</si>
  <si>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</si>
  <si>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</si>
  <si>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</si>
  <si>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</si>
  <si>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</si>
  <si>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</si>
  <si>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</si>
  <si>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</si>
  <si>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</si>
  <si>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</si>
  <si>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</si>
  <si>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</si>
  <si>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</si>
  <si>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</si>
  <si>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</si>
  <si>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</si>
  <si>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</si>
  <si>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</si>
  <si>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</si>
  <si>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</si>
  <si>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</si>
  <si>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</si>
  <si>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</si>
  <si>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</si>
  <si>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</si>
  <si>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</si>
  <si>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</si>
  <si>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</si>
  <si>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</si>
  <si>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</si>
  <si>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</si>
  <si>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</si>
  <si>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</si>
  <si>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</si>
  <si>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</si>
  <si>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</si>
  <si>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</si>
  <si>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</si>
  <si>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</si>
  <si>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</si>
  <si>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</si>
  <si>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</si>
  <si>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</si>
  <si>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</si>
  <si>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</si>
  <si>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</si>
  <si>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</si>
  <si>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</si>
  <si>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</si>
  <si>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</si>
  <si>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</si>
  <si>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</si>
  <si>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</si>
  <si>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</si>
  <si>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</si>
  <si>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</si>
  <si>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</si>
  <si>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</si>
  <si>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</si>
  <si>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</si>
  <si>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</si>
  <si>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</si>
  <si>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</si>
  <si>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</si>
  <si>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</si>
  <si>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</si>
  <si>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</si>
  <si>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</si>
  <si>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</si>
  <si>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</si>
  <si>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</si>
  <si>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</si>
  <si>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</si>
  <si>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</si>
  <si>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</si>
  <si>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</si>
  <si>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</si>
  <si>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</si>
  <si>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</si>
  <si>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</si>
  <si>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</si>
  <si>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</si>
  <si>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</si>
  <si>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</si>
  <si>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</si>
  <si>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</si>
  <si>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</si>
  <si>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</si>
  <si>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</si>
  <si>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</si>
  <si>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</si>
  <si>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</si>
  <si>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</si>
  <si>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</si>
  <si>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</si>
  <si>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</si>
  <si>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</si>
  <si>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</si>
  <si>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</si>
  <si>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</si>
  <si>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</si>
  <si>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</si>
  <si>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</si>
  <si>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</si>
  <si>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</si>
  <si>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</si>
  <si>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</si>
  <si>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</si>
  <si>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</si>
  <si>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</si>
  <si>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</si>
  <si>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</si>
  <si>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</si>
  <si>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</si>
  <si>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</si>
  <si>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</si>
  <si>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</si>
  <si>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</si>
  <si>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</si>
  <si>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</si>
  <si>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</si>
  <si>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</si>
  <si>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</si>
  <si>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</si>
  <si>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</si>
  <si>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</si>
  <si>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</si>
  <si>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</si>
  <si>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</si>
  <si>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</si>
  <si>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</si>
  <si>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</si>
  <si>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</si>
  <si>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</si>
  <si>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</si>
  <si>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</si>
  <si>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</si>
  <si>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</si>
  <si>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</si>
  <si>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</si>
  <si>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</si>
  <si>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</si>
  <si>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</si>
  <si>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</si>
  <si>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</si>
  <si>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</si>
  <si>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</si>
  <si>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</si>
  <si>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</si>
  <si>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</si>
  <si>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</si>
  <si>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</si>
  <si>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</si>
  <si>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</si>
  <si>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</si>
  <si>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</si>
  <si>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</si>
  <si>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</si>
  <si>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</si>
  <si>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</si>
  <si>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</si>
  <si>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</si>
  <si>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</si>
  <si>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</si>
  <si>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</si>
  <si>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</si>
  <si>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</si>
  <si>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</si>
  <si>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</si>
  <si>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</si>
  <si>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</si>
  <si>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</si>
  <si>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</si>
  <si>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</si>
  <si>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</si>
  <si>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</si>
  <si>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</si>
  <si>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</si>
  <si>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</si>
  <si>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</si>
  <si>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</si>
  <si>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</si>
  <si>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</si>
  <si>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</si>
  <si>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</si>
  <si>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</si>
  <si>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</si>
  <si>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</si>
  <si>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</si>
  <si>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</si>
  <si>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</si>
  <si>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</si>
  <si>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</si>
  <si>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</si>
  <si>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</si>
  <si>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</si>
  <si>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</si>
  <si>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</si>
  <si>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</si>
  <si>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</si>
  <si>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</si>
  <si>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</si>
  <si>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</si>
  <si>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</si>
  <si>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</si>
  <si>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</si>
  <si>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</si>
  <si>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</si>
  <si>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</si>
  <si>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</si>
  <si>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</si>
  <si>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</si>
  <si>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</si>
  <si>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</si>
  <si>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</si>
  <si>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</si>
  <si>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</si>
  <si>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</si>
  <si>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</si>
  <si>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</si>
  <si>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</si>
  <si>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</si>
  <si>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</si>
  <si>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</si>
  <si>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</si>
  <si>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</si>
  <si>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</si>
  <si>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</si>
  <si>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</si>
  <si>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</si>
  <si>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</si>
  <si>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</si>
  <si>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</si>
  <si>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</si>
  <si>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</si>
  <si>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</si>
  <si>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</si>
  <si>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</si>
  <si>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</si>
  <si>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</si>
  <si>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</si>
  <si>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</si>
  <si>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</si>
  <si>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</si>
  <si>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</si>
  <si>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</si>
  <si>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</si>
  <si>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</si>
  <si>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</si>
  <si>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</si>
  <si>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</si>
  <si>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</si>
  <si>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</si>
  <si>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</si>
  <si>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</si>
  <si>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</si>
  <si>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</si>
  <si>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</si>
  <si>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</si>
  <si>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</si>
  <si>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</si>
  <si>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</si>
  <si>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</si>
  <si>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</si>
  <si>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</si>
  <si>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</si>
  <si>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</si>
  <si>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</si>
  <si>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</si>
  <si>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</si>
  <si>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</si>
  <si>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</si>
  <si>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</si>
  <si>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</si>
  <si>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</si>
  <si>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</si>
  <si>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</si>
  <si>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</si>
  <si>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</si>
  <si>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</si>
  <si>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</si>
  <si>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</si>
  <si>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</si>
  <si>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</si>
  <si>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</si>
  <si>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</si>
  <si>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</si>
  <si>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</si>
  <si>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</si>
  <si>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</si>
  <si>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</si>
  <si>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</si>
  <si>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</si>
  <si>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</si>
  <si>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</si>
  <si>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</si>
  <si>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</si>
  <si>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</si>
  <si>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</si>
  <si>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</si>
  <si>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</si>
  <si>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</si>
  <si>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</si>
  <si>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</si>
  <si>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</si>
  <si>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</si>
  <si>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</si>
  <si>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</si>
  <si>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</si>
  <si>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</si>
  <si>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</si>
  <si>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</si>
  <si>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</si>
  <si>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</si>
  <si>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</si>
  <si>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</si>
  <si>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</si>
  <si>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</si>
  <si>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</si>
  <si>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</si>
  <si>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</si>
  <si>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</si>
  <si>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</si>
  <si>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</si>
  <si>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</si>
  <si>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</si>
  <si>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</si>
  <si>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</si>
  <si>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</si>
  <si>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</si>
  <si>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</si>
  <si>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</si>
  <si>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</si>
  <si>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</si>
  <si>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</si>
  <si>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</si>
  <si>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</si>
  <si>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</si>
  <si>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</si>
  <si>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</si>
  <si>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</si>
  <si>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</si>
  <si>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</si>
  <si>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</si>
  <si>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</si>
  <si>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</si>
  <si>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</si>
  <si>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</si>
  <si>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</si>
  <si>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</si>
  <si>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</si>
  <si>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</si>
  <si>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</si>
  <si>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</si>
  <si>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</si>
  <si>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</si>
  <si>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</si>
  <si>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</si>
  <si>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</si>
  <si>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</si>
  <si>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</si>
  <si>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</si>
  <si>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</si>
  <si>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</si>
  <si>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</si>
  <si>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</si>
  <si>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</si>
  <si>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</si>
  <si>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</si>
  <si>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</si>
  <si>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</si>
  <si>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</si>
  <si>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</si>
  <si>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</si>
  <si>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</si>
  <si>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</si>
  <si>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</si>
  <si>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</si>
  <si>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</si>
  <si>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</si>
  <si>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</si>
  <si>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</si>
  <si>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</si>
  <si>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</si>
  <si>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</si>
  <si>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</si>
  <si>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</si>
  <si>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</si>
  <si>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</si>
  <si>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</si>
  <si>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</si>
  <si>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</si>
  <si>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</si>
  <si>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</si>
  <si>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</si>
  <si>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</si>
  <si>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</si>
  <si>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</si>
  <si>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</si>
  <si>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</si>
  <si>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</si>
  <si>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</si>
  <si>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</si>
  <si>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</si>
  <si>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</si>
  <si>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</si>
  <si>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</si>
  <si>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</si>
  <si>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</si>
  <si>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</si>
  <si>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</si>
  <si>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</si>
  <si>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</si>
  <si>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</si>
  <si>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</si>
  <si>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</si>
  <si>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</si>
  <si>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</si>
  <si>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</si>
  <si>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</si>
  <si>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</si>
  <si>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</si>
  <si>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</si>
  <si>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</si>
  <si>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</si>
  <si>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</si>
  <si>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</si>
  <si>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</si>
  <si>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</si>
  <si>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</si>
  <si>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</si>
  <si>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</si>
  <si>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</si>
  <si>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</si>
  <si>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</si>
  <si>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</si>
  <si>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</si>
  <si>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</si>
  <si>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</si>
  <si>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</si>
  <si>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</si>
  <si>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</si>
  <si>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</si>
  <si>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</si>
  <si>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</si>
  <si>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</si>
  <si>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</si>
  <si>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</si>
  <si>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</si>
  <si>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</si>
  <si>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</si>
  <si>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</si>
  <si>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</si>
  <si>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</si>
  <si>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</si>
  <si>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</si>
  <si>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</si>
  <si>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</si>
  <si>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</si>
  <si>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</si>
  <si>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</si>
  <si>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</si>
  <si>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</si>
  <si>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</si>
  <si>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</si>
  <si>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</si>
  <si>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</si>
  <si>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</si>
  <si>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</si>
  <si>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</si>
  <si>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</si>
  <si>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</si>
  <si>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</si>
  <si>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</si>
  <si>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</si>
  <si>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</si>
  <si>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</si>
  <si>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</si>
  <si>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</si>
  <si>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</si>
  <si>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</si>
  <si>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</si>
  <si>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</si>
  <si>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</si>
  <si>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</si>
  <si>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</si>
  <si>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</si>
  <si>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</si>
  <si>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</si>
  <si>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</si>
  <si>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</si>
  <si>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</si>
  <si>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</si>
  <si>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</si>
  <si>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</si>
  <si>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</si>
  <si>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</si>
  <si>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</si>
  <si>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</si>
  <si>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</si>
  <si>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</si>
  <si>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</si>
  <si>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</si>
  <si>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</si>
  <si>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</si>
  <si>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</si>
  <si>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</si>
  <si>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</si>
  <si>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</si>
  <si>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</si>
  <si>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</si>
  <si>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</si>
  <si>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</si>
  <si>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</si>
  <si>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</si>
  <si>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</si>
  <si>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</si>
  <si>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</si>
  <si>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</si>
  <si>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</si>
  <si>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</si>
  <si>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</si>
  <si>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</si>
  <si>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</si>
  <si>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</si>
  <si>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</si>
  <si>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</si>
  <si>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</si>
  <si>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</si>
  <si>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</si>
  <si>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</si>
  <si>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</si>
  <si>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</si>
  <si>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</si>
  <si>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</si>
  <si>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</si>
  <si>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</si>
  <si>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</si>
  <si>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</si>
  <si>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</si>
  <si>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</si>
  <si>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</si>
  <si>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</si>
  <si>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</si>
  <si>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</si>
  <si>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</si>
  <si>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</si>
  <si>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</si>
  <si>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</si>
  <si>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</si>
  <si>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</si>
  <si>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</si>
  <si>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</si>
  <si>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</si>
  <si>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</si>
  <si>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</si>
  <si>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</si>
  <si>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</si>
  <si>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</si>
  <si>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</si>
  <si>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</si>
  <si>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</si>
  <si>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</si>
  <si>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</si>
  <si>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</si>
  <si>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</si>
  <si>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</si>
  <si>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</si>
  <si>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</si>
  <si>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</si>
  <si>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</si>
  <si>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</si>
  <si>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</si>
  <si>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</si>
  <si>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</si>
  <si>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</si>
  <si>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</si>
  <si>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</si>
  <si>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</si>
  <si>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</si>
  <si>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</si>
  <si>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</si>
  <si>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</si>
  <si>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</si>
  <si>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</si>
  <si>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</si>
  <si>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</si>
  <si>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</si>
  <si>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</si>
  <si>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</si>
  <si>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</si>
  <si>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</si>
  <si>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</si>
  <si>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</si>
  <si>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</si>
  <si>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</si>
  <si>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</si>
  <si>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</si>
  <si>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</si>
  <si>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</si>
  <si>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</si>
  <si>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</si>
  <si>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</si>
  <si>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</si>
  <si>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</si>
  <si>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</si>
  <si>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</si>
  <si>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</si>
  <si>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</si>
  <si>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</si>
  <si>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</si>
  <si>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</si>
  <si>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</si>
  <si>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</si>
  <si>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</si>
  <si>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</si>
  <si>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</si>
  <si>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</si>
  <si>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</si>
  <si>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</si>
  <si>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</si>
  <si>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</si>
  <si>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</si>
  <si>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</si>
  <si>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</si>
  <si>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</si>
  <si>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</si>
  <si>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</si>
  <si>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</si>
  <si>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</si>
  <si>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</si>
  <si>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</si>
  <si>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</si>
  <si>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</si>
  <si>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</si>
  <si>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</si>
  <si>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</si>
  <si>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</si>
  <si>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</si>
  <si>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</si>
  <si>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</si>
  <si>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</si>
  <si>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</si>
  <si>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</si>
  <si>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</si>
  <si>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</si>
  <si>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</si>
  <si>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</si>
  <si>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</si>
  <si>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</si>
  <si>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</si>
  <si>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</si>
  <si>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</si>
  <si>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</si>
  <si>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</si>
  <si>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</si>
  <si>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</si>
  <si>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</si>
  <si>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</si>
  <si>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</si>
  <si>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</si>
  <si>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</si>
  <si>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</si>
  <si>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</si>
  <si>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</si>
  <si>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</si>
  <si>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</si>
  <si>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</si>
  <si>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</si>
  <si>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</si>
  <si>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</si>
  <si>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</si>
  <si>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</si>
  <si>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</si>
  <si>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</si>
  <si>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</si>
  <si>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</si>
  <si>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</si>
  <si>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</si>
  <si>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</si>
  <si>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</si>
  <si>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</si>
  <si>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</si>
  <si>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</si>
  <si>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</si>
  <si>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</si>
  <si>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</si>
  <si>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</si>
  <si>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</si>
  <si>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</si>
  <si>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</si>
  <si>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</si>
  <si>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</si>
  <si>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</si>
  <si>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</si>
  <si>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</si>
  <si>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</si>
  <si>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</si>
  <si>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</si>
  <si>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</si>
  <si>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</si>
  <si>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</si>
  <si>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</si>
  <si>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</si>
  <si>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</si>
  <si>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</si>
  <si>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</si>
  <si>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</si>
  <si>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</si>
  <si>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</si>
  <si>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</si>
  <si>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</si>
  <si>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</si>
  <si>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</si>
  <si>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</si>
  <si>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</si>
  <si>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</si>
  <si>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</si>
  <si>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</si>
  <si>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</si>
  <si>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</si>
  <si>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</si>
  <si>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</si>
  <si>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</si>
  <si>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</si>
  <si>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</si>
  <si>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</si>
  <si>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</si>
  <si>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</si>
  <si>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</si>
  <si>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</si>
  <si>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</si>
  <si>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</si>
  <si>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</si>
  <si>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</si>
  <si>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</si>
  <si>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</si>
  <si>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</si>
  <si>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</si>
  <si>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</si>
  <si>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</si>
  <si>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</si>
  <si>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</si>
  <si>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</si>
  <si>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</si>
  <si>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</si>
  <si>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</si>
  <si>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</si>
  <si>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</si>
  <si>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</si>
  <si>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</si>
  <si>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</si>
  <si>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</si>
  <si>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</si>
  <si>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</si>
  <si>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</si>
  <si>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</si>
  <si>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</si>
  <si>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</si>
  <si>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</si>
  <si>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</si>
  <si>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</si>
  <si>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</si>
  <si>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</si>
  <si>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</si>
  <si>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</si>
  <si>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</si>
  <si>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</si>
  <si>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</si>
  <si>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</si>
  <si>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</si>
  <si>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</si>
  <si>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</si>
  <si>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</si>
  <si>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</si>
  <si>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</si>
  <si>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</si>
  <si>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</si>
  <si>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</si>
  <si>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</si>
  <si>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</si>
  <si>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</si>
  <si>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</si>
  <si>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</si>
  <si>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</si>
  <si>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</si>
  <si>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</si>
  <si>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</si>
  <si>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</si>
  <si>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</si>
  <si>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</si>
  <si>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</si>
  <si>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</si>
  <si>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</si>
  <si>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</si>
  <si>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</si>
  <si>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</si>
  <si>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</si>
  <si>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</si>
  <si>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</si>
  <si>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</si>
  <si>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</si>
  <si>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</si>
  <si>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</si>
  <si>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</si>
  <si>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</si>
  <si>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</si>
  <si>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</si>
  <si>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</si>
  <si>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</si>
  <si>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</si>
  <si>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</si>
  <si>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</si>
  <si>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</si>
  <si>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</si>
  <si>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</si>
  <si>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</si>
  <si>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</si>
  <si>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</si>
  <si>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</si>
  <si>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</si>
  <si>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</si>
  <si>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</si>
  <si>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</si>
  <si>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</si>
  <si>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</si>
  <si>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</si>
  <si>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</si>
  <si>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</si>
  <si>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</si>
  <si>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</si>
  <si>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</si>
  <si>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</si>
  <si>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</si>
  <si>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</si>
  <si>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</si>
  <si>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</si>
  <si>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</si>
  <si>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</si>
  <si>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</si>
  <si>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</si>
  <si>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</si>
  <si>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</si>
  <si>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</si>
  <si>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</si>
  <si>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</si>
  <si>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</si>
  <si>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</si>
  <si>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</si>
  <si>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</si>
  <si>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</si>
  <si>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</si>
  <si>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</si>
  <si>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</si>
  <si>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</si>
  <si>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</si>
  <si>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</si>
  <si>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</si>
  <si>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</si>
  <si>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</si>
  <si>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</si>
  <si>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</si>
  <si>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</si>
  <si>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</si>
  <si>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</si>
  <si>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</si>
  <si>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</si>
  <si>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</si>
  <si>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</si>
  <si>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</si>
  <si>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</si>
  <si>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</si>
  <si>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</si>
  <si>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</si>
  <si>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</si>
  <si>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</si>
  <si>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</si>
  <si>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</si>
  <si>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</si>
  <si>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</si>
  <si>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</si>
  <si>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</si>
  <si>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</si>
  <si>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</si>
  <si>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</si>
  <si>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</si>
  <si>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</si>
  <si>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</si>
  <si>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</si>
  <si>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</si>
  <si>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</si>
  <si>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</si>
  <si>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</si>
  <si>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</si>
  <si>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</si>
  <si>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</si>
  <si>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</si>
  <si>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</si>
  <si>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</si>
  <si>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</si>
  <si>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</si>
  <si>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</si>
  <si>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</si>
  <si>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</si>
  <si>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</si>
  <si>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</si>
  <si>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</si>
  <si>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</si>
  <si>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</si>
  <si>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</si>
  <si>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</si>
  <si>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</si>
  <si>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</si>
  <si>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</si>
  <si>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</si>
  <si>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</si>
  <si>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</si>
  <si>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</si>
  <si>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</si>
  <si>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</si>
  <si>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</si>
  <si>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</si>
  <si>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</si>
  <si>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</si>
  <si>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</si>
  <si>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</si>
  <si>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</si>
  <si>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</si>
  <si>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</si>
  <si>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</si>
  <si>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</si>
  <si>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</si>
  <si>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</si>
  <si>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</si>
  <si>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</si>
  <si>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</si>
  <si>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</si>
  <si>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</si>
  <si>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</si>
  <si>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</si>
  <si>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</si>
  <si>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</si>
  <si>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</si>
  <si>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</si>
  <si>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</si>
  <si>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</si>
  <si>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</si>
  <si>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</si>
  <si>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</si>
  <si>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</si>
  <si>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</si>
  <si>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</si>
  <si>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</si>
  <si>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</si>
  <si>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</si>
  <si>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</si>
  <si>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</si>
  <si>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</si>
  <si>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</si>
  <si>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</si>
  <si>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</si>
  <si>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</si>
  <si>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</si>
  <si>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</si>
  <si>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</si>
  <si>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</si>
  <si>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</si>
  <si>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</si>
  <si>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</si>
  <si>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</si>
  <si>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</si>
  <si>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</si>
  <si>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</si>
  <si>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</si>
  <si>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</si>
  <si>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</si>
  <si>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</si>
  <si>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</si>
  <si>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</si>
  <si>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</si>
  <si>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</si>
  <si>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</si>
  <si>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</si>
  <si>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</si>
  <si>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</si>
  <si>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</si>
  <si>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</si>
  <si>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</si>
  <si>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</si>
  <si>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</si>
  <si>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</si>
  <si>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</si>
  <si>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</si>
  <si>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</si>
  <si>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</si>
  <si>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</si>
  <si>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</si>
  <si>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</si>
  <si>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</si>
  <si>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</si>
  <si>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</si>
  <si>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</si>
  <si>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</si>
  <si>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</si>
  <si>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</si>
  <si>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</si>
  <si>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</si>
  <si>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</si>
  <si>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</si>
  <si>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</si>
  <si>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</si>
  <si>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</si>
  <si>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</si>
  <si>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</si>
  <si>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</si>
  <si>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</si>
  <si>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</si>
  <si>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</si>
  <si>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</si>
  <si>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</si>
  <si>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</si>
  <si>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</si>
  <si>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</si>
  <si>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</si>
  <si>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</si>
  <si>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</si>
  <si>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</si>
  <si>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</si>
  <si>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</si>
  <si>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</si>
  <si>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</si>
  <si>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</si>
  <si>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</si>
  <si>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</si>
  <si>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</si>
  <si>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</si>
  <si>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</si>
  <si>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</si>
  <si>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</si>
  <si>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</si>
  <si>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</si>
  <si>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</si>
  <si>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</si>
  <si>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</si>
  <si>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</si>
  <si>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</si>
  <si>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</si>
  <si>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</si>
  <si>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</si>
  <si>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</si>
  <si>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</si>
  <si>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</si>
  <si>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</si>
  <si>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</si>
  <si>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</si>
  <si>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</si>
  <si>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</si>
  <si>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</si>
  <si>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</si>
  <si>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</si>
  <si>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</si>
  <si>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</si>
  <si>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</si>
  <si>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</si>
  <si>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</si>
  <si>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</si>
  <si>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</si>
  <si>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</si>
  <si>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</si>
  <si>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</si>
  <si>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</si>
  <si>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</si>
  <si>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</si>
  <si>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</si>
  <si>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</si>
  <si>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</si>
  <si>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</si>
  <si>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</si>
  <si>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</si>
  <si>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</si>
  <si>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</si>
  <si>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</si>
  <si>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</si>
  <si>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</si>
  <si>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</si>
  <si>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</si>
  <si>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</si>
  <si>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</si>
  <si>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</si>
  <si>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</si>
  <si>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</si>
  <si>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</si>
  <si>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</si>
  <si>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</si>
  <si>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</si>
  <si>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</si>
  <si>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</si>
  <si>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</si>
  <si>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</si>
  <si>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</si>
  <si>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</si>
  <si>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</si>
  <si>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</si>
  <si>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</si>
  <si>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</si>
  <si>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</si>
  <si>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</si>
  <si>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</si>
  <si>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</si>
  <si>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</si>
  <si>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</si>
  <si>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</si>
  <si>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</si>
  <si>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</si>
  <si>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</si>
  <si>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</si>
  <si>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</si>
  <si>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</si>
  <si>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</si>
  <si>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</si>
  <si>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</si>
  <si>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</si>
  <si>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</si>
  <si>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</si>
  <si>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</si>
  <si>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</si>
  <si>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</si>
  <si>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</si>
  <si>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</si>
  <si>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</si>
  <si>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</si>
  <si>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</si>
  <si>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</si>
  <si>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</si>
  <si>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</si>
  <si>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</si>
  <si>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</si>
  <si>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</si>
  <si>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</si>
  <si>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</si>
  <si>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</si>
  <si>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</si>
  <si>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</si>
  <si>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</si>
  <si>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</si>
  <si>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</si>
  <si>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</si>
  <si>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</si>
  <si>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</si>
  <si>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</si>
  <si>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</si>
  <si>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</si>
  <si>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</si>
  <si>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</si>
  <si>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</si>
  <si>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</si>
  <si>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</si>
  <si>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</si>
  <si>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</si>
  <si>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</si>
  <si>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</si>
  <si>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</si>
  <si>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</si>
  <si>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</si>
  <si>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</si>
  <si>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</si>
  <si>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</si>
  <si>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</si>
  <si>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</si>
  <si>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</si>
  <si>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</si>
  <si>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</si>
  <si>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</si>
  <si>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</si>
  <si>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</si>
  <si>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</si>
  <si>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</si>
  <si>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</si>
  <si>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</si>
  <si>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</si>
  <si>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</si>
  <si>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</si>
  <si>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</si>
  <si>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</si>
  <si>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</si>
  <si>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</si>
  <si>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</si>
  <si>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</si>
  <si>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</si>
  <si>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</si>
  <si>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</si>
  <si>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</si>
  <si>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</si>
  <si>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</si>
  <si>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</si>
  <si>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</si>
  <si>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</si>
  <si>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</si>
  <si>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</si>
  <si>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</si>
  <si>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</si>
  <si>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</si>
  <si>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</si>
  <si>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</si>
  <si>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</si>
  <si>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</si>
  <si>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</si>
  <si>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</si>
  <si>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</si>
  <si>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</si>
  <si>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</si>
  <si>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</si>
  <si>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</si>
  <si>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</si>
  <si>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</si>
  <si>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</si>
  <si>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</si>
  <si>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</si>
  <si>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</si>
  <si>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</si>
  <si>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</si>
  <si>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</si>
  <si>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</si>
  <si>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</si>
  <si>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</si>
  <si>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</si>
  <si>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</si>
  <si>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</si>
  <si>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</si>
  <si>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</si>
  <si>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</si>
  <si>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</si>
  <si>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</si>
  <si>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</si>
  <si>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</si>
  <si>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</si>
  <si>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</si>
  <si>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</si>
  <si>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</si>
  <si>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</si>
  <si>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</si>
  <si>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</si>
  <si>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</si>
  <si>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</si>
  <si>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</si>
  <si>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</si>
  <si>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</si>
  <si>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</si>
  <si>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</si>
  <si>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</si>
  <si>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</si>
  <si>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</si>
  <si>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</si>
  <si>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</si>
  <si>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</si>
  <si>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</si>
  <si>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</si>
  <si>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</si>
  <si>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</si>
  <si>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</si>
  <si>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</si>
  <si>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</si>
  <si>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</si>
  <si>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</si>
  <si>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</si>
  <si>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</si>
  <si>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</si>
  <si>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</si>
  <si>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</si>
  <si>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</si>
  <si>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</si>
  <si>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</si>
  <si>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</si>
  <si>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</si>
  <si>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</si>
  <si>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</si>
  <si>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</si>
  <si>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</si>
  <si>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</si>
  <si>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</si>
  <si>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</si>
  <si>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</si>
  <si>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</si>
  <si>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</si>
  <si>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</si>
  <si>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</si>
  <si>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</si>
  <si>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</si>
  <si>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</si>
  <si>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</si>
  <si>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</si>
  <si>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</si>
  <si>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</si>
  <si>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</si>
  <si>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</si>
  <si>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</si>
  <si>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</si>
  <si>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</si>
  <si>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</si>
  <si>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</si>
  <si>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</si>
  <si>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</si>
  <si>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</si>
  <si>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</si>
  <si>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</si>
  <si>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</si>
  <si>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</si>
  <si>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</si>
  <si>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</si>
  <si>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</si>
  <si>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</si>
  <si>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</si>
  <si>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</si>
  <si>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</si>
  <si>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</si>
  <si>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</si>
  <si>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</si>
  <si>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</si>
  <si>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</si>
  <si>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</si>
  <si>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</si>
  <si>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</si>
  <si>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</si>
  <si>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</si>
  <si>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</si>
  <si>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</si>
  <si>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</si>
  <si>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</si>
  <si>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</si>
  <si>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</si>
  <si>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</si>
  <si>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</si>
  <si>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</si>
  <si>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</si>
  <si>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</si>
  <si>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</si>
  <si>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</si>
  <si>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</si>
  <si>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</si>
  <si>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</si>
  <si>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</si>
  <si>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</si>
  <si>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</si>
  <si>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</si>
  <si>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</si>
  <si>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</si>
  <si>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</si>
  <si>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</si>
  <si>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</si>
  <si>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</si>
  <si>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</si>
  <si>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</si>
  <si>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</si>
  <si>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</si>
  <si>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</si>
  <si>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</si>
  <si>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</si>
  <si>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</si>
  <si>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</si>
  <si>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</si>
  <si>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</si>
  <si>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</si>
  <si>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</si>
  <si>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</si>
  <si>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</si>
  <si>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</si>
  <si>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</si>
  <si>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</si>
  <si>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</si>
  <si>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</si>
  <si>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</si>
  <si>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</si>
  <si>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</si>
  <si>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</si>
  <si>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</si>
  <si>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</si>
  <si>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</si>
  <si>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</si>
  <si>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</si>
  <si>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</si>
  <si>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</si>
  <si>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</si>
  <si>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</si>
  <si>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</si>
  <si>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</si>
  <si>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</si>
  <si>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</si>
  <si>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</si>
  <si>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</si>
  <si>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</si>
  <si>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</si>
  <si>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</si>
  <si>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</si>
  <si>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</si>
  <si>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</si>
  <si>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</si>
  <si>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</si>
  <si>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</si>
  <si>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</si>
  <si>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</si>
  <si>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</si>
  <si>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</si>
  <si>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</si>
  <si>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</si>
  <si>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</si>
  <si>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</si>
  <si>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</si>
  <si>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</si>
  <si>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</si>
  <si>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</si>
  <si>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</si>
  <si>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</si>
  <si>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</si>
  <si>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</si>
  <si>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</si>
  <si>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</si>
  <si>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</si>
  <si>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</si>
  <si>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</si>
  <si>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</si>
  <si>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</si>
  <si>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</si>
  <si>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</si>
  <si>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</si>
  <si>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</si>
  <si>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</si>
  <si>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</si>
  <si>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</si>
  <si>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</si>
  <si>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</si>
  <si>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</si>
  <si>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</si>
  <si>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</si>
  <si>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</si>
  <si>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</si>
  <si>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</si>
  <si>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</si>
  <si>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</si>
  <si>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</si>
  <si>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</si>
  <si>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</si>
  <si>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</si>
  <si>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</si>
  <si>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</si>
  <si>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</si>
  <si>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</si>
  <si>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</si>
  <si>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</si>
  <si>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</si>
  <si>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</si>
  <si>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</si>
  <si>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</si>
  <si>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</si>
  <si>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</si>
  <si>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</si>
  <si>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</si>
  <si>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</si>
  <si>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</si>
  <si>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</si>
  <si>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</si>
  <si>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</si>
  <si>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</si>
  <si>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</si>
  <si>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</si>
  <si>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</si>
  <si>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</si>
  <si>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</si>
  <si>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</si>
  <si>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</si>
  <si>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</si>
  <si>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</si>
  <si>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</si>
  <si>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</si>
  <si>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</si>
  <si>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</si>
  <si>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</si>
  <si>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</si>
  <si>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</si>
  <si>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</si>
  <si>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</si>
  <si>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</si>
  <si>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</si>
  <si>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</si>
  <si>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</si>
  <si>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</si>
  <si>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</si>
  <si>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</si>
  <si>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</si>
  <si>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</si>
  <si>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</si>
  <si>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</si>
  <si>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</si>
  <si>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</si>
  <si>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</si>
  <si>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</si>
  <si>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</si>
  <si>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</si>
  <si>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</si>
  <si>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</si>
  <si>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</si>
  <si>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</si>
  <si>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</si>
  <si>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</si>
  <si>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</si>
  <si>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</si>
  <si>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</si>
  <si>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</si>
  <si>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</si>
  <si>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</si>
  <si>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</si>
  <si>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</si>
  <si>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</si>
  <si>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</si>
  <si>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</si>
  <si>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</si>
  <si>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</si>
  <si>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</si>
  <si>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</si>
  <si>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</si>
  <si>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</si>
  <si>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</si>
  <si>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</si>
  <si>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</si>
  <si>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</si>
  <si>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</si>
  <si>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</si>
  <si>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</si>
  <si>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</si>
  <si>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</si>
  <si>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</si>
  <si>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</si>
  <si>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</si>
  <si>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</si>
  <si>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</si>
  <si>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</si>
  <si>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</si>
  <si>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</si>
  <si>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</si>
  <si>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</si>
  <si>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</si>
  <si>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</si>
  <si>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</si>
  <si>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</si>
  <si>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</si>
  <si>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</si>
  <si>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</si>
  <si>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</si>
  <si>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</si>
  <si>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</si>
  <si>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</si>
  <si>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</si>
  <si>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</si>
  <si>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</si>
  <si>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</si>
  <si>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</si>
  <si>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</si>
  <si>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</si>
  <si>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</si>
  <si>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</si>
  <si>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</si>
  <si>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</si>
  <si>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</si>
  <si>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</si>
  <si>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</si>
  <si>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</si>
  <si>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</si>
  <si>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</si>
  <si>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</si>
  <si>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</si>
  <si>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</si>
  <si>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</si>
  <si>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</si>
  <si>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</si>
  <si>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</si>
  <si>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</si>
  <si>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</si>
  <si>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</si>
  <si>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</si>
  <si>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</si>
  <si>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</si>
  <si>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</si>
  <si>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</si>
  <si>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</si>
  <si>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</si>
  <si>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</si>
  <si>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</si>
  <si>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</si>
  <si>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</si>
  <si>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</si>
  <si>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</si>
  <si>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</si>
  <si>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</si>
  <si>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</si>
  <si>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</si>
  <si>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</si>
  <si>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</si>
  <si>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</si>
  <si>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</si>
  <si>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</si>
  <si>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</si>
  <si>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</si>
  <si>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</si>
  <si>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</si>
  <si>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</si>
  <si>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</si>
  <si>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</si>
  <si>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</si>
  <si>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</si>
  <si>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</si>
  <si>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</si>
  <si>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</si>
  <si>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</si>
  <si>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</si>
  <si>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</si>
  <si>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</si>
  <si>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</si>
  <si>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</si>
  <si>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</si>
  <si>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</si>
  <si>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</si>
  <si>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</si>
  <si>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</si>
  <si>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</si>
  <si>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</si>
  <si>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</si>
  <si>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</si>
  <si>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</si>
  <si>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</si>
  <si>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</si>
  <si>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</si>
  <si>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</si>
  <si>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</si>
  <si>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</si>
  <si>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</si>
  <si>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</si>
  <si>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</si>
  <si>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</si>
  <si>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</si>
  <si>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</si>
  <si>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</si>
  <si>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</si>
  <si>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</si>
  <si>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</si>
  <si>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</si>
  <si>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</si>
  <si>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</si>
  <si>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</si>
  <si>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</si>
  <si>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</si>
  <si>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</si>
  <si>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</si>
  <si>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</si>
  <si>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</si>
  <si>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</si>
  <si>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</si>
  <si>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</si>
  <si>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</si>
  <si>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</si>
  <si>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</si>
  <si>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</si>
  <si>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</si>
  <si>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</si>
  <si>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</si>
  <si>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</si>
  <si>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</si>
  <si>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</si>
  <si>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</si>
  <si>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</si>
  <si>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</si>
  <si>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</si>
  <si>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</si>
  <si>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</si>
  <si>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</si>
  <si>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</si>
  <si>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</si>
  <si>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</si>
  <si>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</si>
  <si>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</si>
  <si>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</si>
  <si>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</si>
  <si>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</si>
  <si>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</si>
  <si>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</si>
  <si>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</si>
  <si>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</si>
  <si>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</si>
  <si>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</si>
  <si>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</si>
  <si>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</si>
  <si>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</si>
  <si>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</si>
  <si>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</si>
  <si>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</si>
  <si>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</si>
  <si>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</si>
  <si>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</si>
  <si>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</si>
  <si>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</si>
  <si>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</si>
  <si>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</si>
  <si>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</si>
  <si>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</si>
  <si>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</si>
  <si>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</si>
  <si>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</si>
  <si>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</si>
  <si>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</si>
  <si>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</si>
  <si>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</si>
  <si>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</si>
  <si>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</si>
  <si>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</si>
  <si>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</si>
  <si>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</si>
  <si>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</si>
  <si>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</si>
  <si>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</si>
  <si>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</si>
  <si>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</si>
  <si>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</si>
  <si>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</si>
  <si>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</si>
  <si>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</si>
  <si>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</si>
  <si>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</si>
  <si>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</si>
  <si>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</si>
  <si>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</si>
  <si>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</si>
  <si>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</si>
  <si>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</si>
  <si>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</si>
  <si>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</si>
  <si>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</si>
  <si>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</si>
  <si>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</si>
  <si>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</si>
  <si>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</si>
  <si>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</si>
  <si>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</si>
  <si>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</si>
  <si>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</si>
  <si>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</si>
  <si>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</si>
  <si>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</si>
  <si>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</si>
  <si>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</si>
  <si>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</si>
  <si>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</si>
  <si>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</si>
  <si>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</si>
  <si>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</si>
  <si>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</si>
  <si>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</si>
  <si>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</si>
  <si>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</si>
  <si>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</si>
  <si>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</si>
  <si>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</si>
  <si>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</si>
  <si>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</si>
  <si>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</si>
  <si>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</si>
  <si>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</si>
  <si>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</si>
  <si>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</si>
  <si>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</si>
  <si>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</si>
  <si>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</si>
  <si>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</si>
  <si>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</si>
  <si>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</si>
  <si>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</si>
  <si>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</si>
  <si>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</si>
  <si>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</si>
  <si>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</si>
  <si>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</si>
  <si>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</si>
  <si>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</si>
  <si>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</si>
  <si>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</si>
  <si>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</si>
  <si>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</si>
  <si>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</si>
  <si>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</si>
  <si>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</si>
  <si>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</si>
  <si>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</si>
  <si>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</si>
  <si>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</si>
  <si>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</si>
  <si>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</si>
  <si>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</si>
  <si>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</si>
  <si>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</si>
  <si>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</si>
  <si>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</si>
  <si>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</si>
  <si>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</si>
  <si>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</si>
  <si>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</si>
  <si>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</si>
  <si>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</si>
  <si>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</si>
  <si>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</si>
  <si>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</si>
  <si>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</si>
  <si>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</si>
  <si>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</si>
  <si>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</si>
  <si>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</si>
  <si>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</si>
  <si>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</si>
  <si>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</si>
  <si>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</si>
  <si>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</si>
  <si>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</si>
  <si>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</si>
  <si>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</si>
  <si>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</si>
  <si>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</si>
  <si>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</si>
  <si>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</si>
  <si>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</si>
  <si>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</si>
  <si>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</si>
  <si>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</si>
  <si>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</si>
  <si>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</si>
  <si>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</si>
  <si>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</si>
  <si>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</si>
  <si>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</si>
  <si>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</si>
  <si>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</si>
  <si>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</si>
  <si>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</si>
  <si>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</si>
  <si>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</si>
  <si>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</si>
  <si>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</si>
  <si>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</si>
  <si>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</si>
  <si>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</si>
  <si>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</si>
  <si>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</si>
  <si>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</si>
  <si>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</si>
  <si>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</si>
  <si>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</si>
  <si>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</si>
  <si>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</si>
  <si>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</si>
  <si>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</si>
  <si>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</si>
  <si>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</si>
  <si>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</si>
  <si>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</si>
  <si>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</si>
  <si>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</si>
  <si>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</si>
  <si>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</si>
  <si>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</si>
  <si>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</si>
  <si>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</si>
  <si>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</si>
  <si>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</si>
  <si>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</si>
  <si>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</si>
  <si>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</si>
  <si>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</si>
  <si>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</si>
  <si>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</si>
  <si>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</si>
  <si>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</si>
  <si>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</si>
  <si>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</si>
  <si>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</si>
  <si>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</si>
  <si>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</si>
  <si>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</si>
  <si>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</si>
  <si>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</si>
  <si>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</si>
  <si>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</si>
  <si>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</si>
  <si>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</si>
  <si>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</si>
  <si>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</si>
  <si>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</si>
  <si>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</si>
  <si>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</si>
  <si>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</si>
  <si>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</si>
  <si>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</si>
  <si>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</si>
  <si>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</si>
  <si>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</si>
  <si>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</si>
  <si>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</si>
  <si>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</si>
  <si>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</si>
  <si>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</si>
  <si>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</si>
  <si>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</si>
  <si>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</si>
  <si>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</si>
  <si>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</si>
  <si>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</si>
  <si>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</si>
  <si>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</si>
  <si>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</si>
  <si>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</si>
  <si>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</si>
  <si>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</si>
  <si>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</si>
  <si>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</si>
  <si>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</si>
  <si>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</si>
  <si>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</si>
  <si>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</si>
  <si>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</si>
  <si>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</si>
  <si>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</si>
  <si>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</si>
  <si>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</si>
  <si>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</si>
  <si>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</si>
  <si>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</si>
  <si>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</si>
  <si>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</si>
  <si>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</si>
  <si>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</si>
  <si>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</si>
  <si>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</si>
  <si>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</si>
  <si>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</si>
  <si>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</si>
  <si>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</si>
  <si>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</si>
  <si>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</si>
  <si>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</si>
  <si>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</si>
  <si>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</si>
  <si>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</si>
  <si>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</si>
  <si>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</si>
  <si>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</si>
  <si>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</si>
  <si>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</si>
  <si>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</si>
  <si>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</si>
  <si>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</si>
  <si>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</si>
  <si>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</si>
  <si>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</si>
  <si>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</si>
  <si>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</si>
  <si>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</si>
  <si>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</si>
  <si>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</si>
  <si>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</si>
  <si>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</si>
  <si>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</si>
  <si>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</si>
  <si>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</si>
  <si>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</si>
  <si>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</si>
  <si>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</si>
  <si>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</si>
  <si>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</si>
  <si>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</si>
  <si>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</si>
  <si>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</si>
  <si>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</si>
  <si>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</si>
  <si>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</si>
  <si>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</si>
  <si>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</si>
  <si>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</si>
  <si>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</si>
  <si>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</si>
  <si>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</si>
  <si>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</si>
  <si>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</si>
  <si>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</si>
  <si>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</si>
  <si>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</si>
  <si>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</si>
  <si>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</si>
  <si>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</si>
  <si>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</si>
  <si>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</si>
  <si>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</si>
  <si>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</si>
  <si>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</si>
  <si>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</si>
  <si>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</si>
  <si>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</si>
  <si>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</si>
  <si>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</si>
  <si>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</si>
  <si>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</si>
  <si>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</si>
  <si>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</si>
  <si>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</si>
  <si>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</si>
  <si>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</si>
  <si>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</si>
  <si>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</si>
  <si>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</si>
  <si>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</si>
  <si>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</si>
  <si>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</si>
  <si>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</si>
  <si>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</si>
  <si>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</si>
  <si>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</si>
  <si>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</si>
  <si>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</si>
  <si>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</si>
  <si>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</si>
  <si>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</si>
  <si>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</si>
  <si>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</si>
  <si>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</si>
  <si>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</si>
  <si>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</si>
  <si>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</si>
  <si>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</si>
  <si>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</si>
  <si>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</si>
  <si>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</si>
  <si>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</si>
  <si>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</si>
  <si>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</si>
  <si>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</si>
  <si>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</si>
  <si>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</si>
  <si>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</si>
  <si>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</si>
  <si>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</si>
  <si>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</si>
  <si>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</si>
  <si>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</si>
  <si>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</si>
  <si>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</si>
  <si>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</si>
  <si>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</si>
  <si>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</si>
  <si>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</si>
  <si>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</si>
  <si>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</si>
  <si>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</si>
  <si>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</si>
  <si>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</si>
  <si>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</si>
  <si>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</si>
  <si>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</si>
  <si>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</si>
  <si>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</si>
  <si>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</si>
  <si>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</si>
  <si>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</si>
  <si>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</si>
  <si>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</si>
  <si>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</si>
  <si>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</si>
  <si>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</si>
  <si>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</si>
  <si>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</si>
  <si>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</si>
  <si>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</si>
  <si>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</si>
  <si>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</si>
  <si>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</si>
  <si>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</si>
  <si>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</si>
  <si>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</si>
  <si>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</si>
  <si>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</si>
  <si>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</si>
  <si>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</si>
  <si>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</si>
  <si>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</si>
  <si>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</si>
  <si>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</si>
  <si>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</si>
  <si>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</si>
  <si>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</si>
  <si>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</si>
  <si>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</si>
  <si>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</si>
  <si>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</si>
  <si>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</si>
  <si>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</si>
  <si>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</si>
  <si>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</si>
  <si>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</si>
  <si>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</si>
  <si>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</si>
  <si>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</si>
  <si>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</si>
  <si>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</si>
  <si>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</si>
  <si>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</si>
  <si>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</si>
  <si>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</si>
  <si>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</si>
  <si>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</si>
  <si>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</si>
  <si>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</si>
  <si>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</si>
  <si>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</si>
  <si>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</si>
  <si>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</si>
  <si>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</si>
  <si>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</si>
  <si>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</si>
  <si>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</si>
  <si>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</si>
  <si>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</si>
  <si>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</si>
  <si>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</si>
  <si>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</si>
  <si>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</si>
  <si>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</si>
  <si>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</si>
  <si>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</si>
  <si>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</si>
  <si>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</si>
  <si>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</si>
  <si>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</si>
  <si>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</si>
  <si>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</si>
  <si>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</si>
  <si>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</si>
  <si>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</si>
  <si>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</si>
  <si>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</si>
  <si>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</si>
  <si>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</si>
  <si>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</si>
  <si>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</si>
  <si>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</si>
  <si>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</si>
  <si>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</si>
  <si>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</si>
  <si>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</si>
  <si>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</si>
  <si>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</si>
  <si>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</si>
  <si>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</si>
  <si>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</si>
  <si>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</si>
  <si>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</si>
  <si>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</si>
  <si>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</si>
  <si>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</si>
  <si>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</si>
  <si>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</si>
  <si>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</si>
  <si>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</si>
  <si>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</si>
  <si>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</si>
  <si>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</si>
  <si>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</si>
  <si>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</si>
  <si>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</si>
  <si>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</si>
  <si>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</si>
  <si>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</si>
  <si>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</si>
  <si>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</si>
  <si>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</si>
  <si>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</si>
  <si>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</si>
  <si>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</si>
  <si>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</si>
  <si>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</si>
  <si>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</si>
  <si>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</si>
  <si>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</si>
  <si>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</si>
  <si>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</si>
  <si>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</si>
  <si>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</si>
  <si>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</si>
  <si>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</si>
  <si>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</si>
  <si>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</si>
  <si>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</si>
  <si>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</si>
  <si>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</si>
  <si>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</si>
  <si>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</si>
  <si>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</si>
  <si>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</si>
  <si>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</si>
  <si>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</si>
  <si>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</si>
  <si>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</si>
  <si>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</si>
  <si>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</si>
  <si>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</si>
  <si>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</si>
  <si>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</si>
  <si>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</si>
  <si>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</si>
  <si>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</si>
  <si>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</si>
  <si>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</si>
  <si>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</si>
  <si>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</si>
  <si>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</si>
  <si>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</si>
  <si>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</si>
  <si>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</si>
  <si>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</si>
  <si>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</si>
  <si>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</si>
  <si>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</si>
  <si>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</si>
  <si>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</si>
  <si>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</si>
  <si>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</si>
  <si>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</si>
  <si>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</si>
  <si>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</si>
  <si>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</si>
  <si>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</si>
  <si>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</si>
  <si>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</si>
  <si>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</si>
  <si>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</si>
  <si>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</si>
  <si>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</si>
  <si>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</si>
  <si>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</si>
  <si>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</si>
  <si>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</si>
  <si>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</si>
  <si>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</si>
  <si>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</si>
  <si>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</si>
  <si>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</si>
  <si>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</si>
  <si>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</si>
  <si>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</si>
  <si>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</si>
  <si>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</si>
  <si>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</si>
  <si>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</si>
  <si>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</si>
  <si>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</si>
  <si>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</si>
  <si>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</si>
  <si>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</si>
  <si>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</si>
  <si>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</si>
  <si>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</si>
  <si>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</si>
  <si>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</si>
  <si>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</si>
  <si>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</si>
  <si>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</si>
  <si>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</si>
  <si>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</si>
  <si>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</si>
  <si>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</si>
  <si>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</si>
  <si>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</si>
  <si>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</si>
  <si>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</si>
  <si>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</si>
  <si>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</si>
  <si>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</si>
  <si>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</si>
  <si>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</si>
  <si>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</si>
  <si>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</si>
  <si>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</si>
  <si>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</si>
  <si>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</si>
  <si>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</si>
  <si>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</si>
  <si>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</si>
  <si>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</si>
  <si>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</si>
  <si>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</si>
  <si>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</si>
  <si>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</si>
  <si>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</si>
  <si>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</si>
  <si>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</si>
  <si>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</si>
  <si>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</si>
  <si>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</si>
  <si>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</si>
  <si>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</si>
  <si>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</si>
  <si>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</si>
  <si>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</si>
  <si>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</si>
  <si>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</si>
  <si>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</si>
  <si>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</si>
  <si>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</si>
  <si>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</si>
  <si>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</si>
  <si>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</si>
  <si>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</si>
  <si>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</si>
  <si>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</si>
  <si>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</si>
  <si>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</si>
  <si>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</si>
  <si>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</si>
  <si>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</si>
  <si>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</si>
  <si>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</si>
  <si>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</si>
  <si>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</si>
  <si>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</si>
  <si>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</si>
  <si>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</si>
  <si>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</si>
  <si>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</si>
  <si>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</si>
  <si>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</si>
  <si>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</si>
  <si>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</si>
  <si>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</si>
  <si>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</si>
  <si>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</si>
  <si>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</si>
  <si>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</si>
  <si>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</si>
  <si>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</si>
  <si>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</si>
  <si>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</si>
  <si>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</si>
  <si>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</si>
  <si>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</si>
  <si>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</si>
  <si>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</si>
  <si>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</si>
  <si>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</si>
  <si>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</si>
  <si>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</si>
  <si>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</si>
  <si>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</si>
  <si>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</si>
  <si>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</si>
  <si>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</si>
  <si>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</si>
  <si>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</si>
  <si>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</si>
  <si>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</si>
  <si>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</si>
  <si>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</si>
  <si>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</si>
  <si>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</si>
  <si>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</si>
  <si>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</si>
  <si>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</si>
  <si>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</si>
  <si>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</si>
  <si>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</si>
  <si>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</si>
  <si>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</si>
  <si>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</si>
  <si>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</si>
  <si>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</si>
  <si>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</si>
  <si>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</si>
  <si>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</si>
  <si>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</si>
  <si>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</si>
  <si>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</si>
  <si>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</si>
  <si>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</si>
  <si>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</si>
  <si>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</si>
  <si>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</si>
  <si>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</si>
  <si>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</si>
  <si>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</si>
  <si>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</si>
  <si>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</si>
  <si>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</si>
  <si>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</si>
  <si>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</si>
  <si>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</si>
  <si>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</si>
  <si>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</si>
  <si>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</si>
  <si>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</si>
  <si>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</si>
  <si>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</si>
  <si>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</si>
  <si>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</si>
  <si>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</si>
  <si>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</si>
  <si>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</si>
  <si>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</si>
  <si>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</si>
  <si>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</si>
  <si>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</si>
  <si>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</si>
  <si>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</si>
  <si>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</si>
  <si>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</si>
  <si>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</si>
  <si>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</si>
  <si>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</si>
  <si>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</si>
  <si>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</si>
  <si>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</si>
  <si>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</si>
  <si>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</si>
  <si>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</si>
  <si>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</si>
  <si>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</si>
  <si>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</si>
  <si>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</si>
  <si>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</si>
  <si>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</si>
  <si>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</si>
  <si>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</si>
  <si>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</si>
  <si>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</si>
  <si>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</si>
  <si>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</si>
  <si>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</si>
  <si>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</si>
  <si>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</si>
  <si>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</si>
  <si>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</si>
  <si>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</si>
  <si>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</si>
  <si>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</si>
  <si>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</si>
  <si>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</si>
  <si>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</si>
  <si>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</si>
  <si>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</si>
  <si>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</si>
  <si>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</si>
  <si>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</si>
  <si>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</si>
  <si>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</si>
  <si>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</si>
  <si>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</si>
  <si>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</si>
  <si>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</si>
  <si>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</si>
  <si>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</si>
  <si>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</si>
  <si>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</si>
  <si>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</si>
  <si>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</si>
  <si>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</si>
  <si>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</si>
  <si>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</si>
  <si>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</si>
  <si>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</si>
  <si>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</si>
  <si>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</si>
  <si>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</si>
  <si>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</si>
  <si>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</si>
  <si>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</si>
  <si>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</si>
  <si>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</si>
  <si>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</si>
  <si>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</si>
  <si>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</si>
  <si>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</si>
  <si>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</si>
  <si>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</si>
  <si>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</si>
  <si>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</si>
  <si>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</si>
  <si>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</si>
  <si>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</si>
  <si>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</si>
  <si>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</si>
  <si>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</si>
  <si>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</si>
  <si>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</si>
  <si>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</si>
  <si>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</si>
  <si>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</si>
  <si>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</si>
  <si>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</si>
  <si>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</si>
  <si>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</si>
  <si>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</si>
  <si>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</si>
  <si>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</si>
  <si>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</si>
  <si>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</si>
  <si>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</si>
  <si>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</si>
  <si>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</si>
  <si>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</si>
  <si>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</si>
  <si>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</si>
  <si>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</si>
  <si>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</si>
  <si>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</si>
  <si>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</si>
  <si>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</si>
  <si>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</si>
  <si>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</si>
  <si>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</si>
  <si>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</si>
  <si>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</si>
  <si>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</si>
  <si>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</si>
  <si>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</si>
  <si>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</si>
  <si>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</si>
  <si>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</si>
  <si>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</si>
  <si>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</si>
  <si>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</si>
  <si>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</si>
  <si>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</si>
  <si>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</si>
  <si>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</si>
  <si>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</si>
  <si>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</si>
  <si>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</si>
  <si>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</si>
  <si>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</si>
  <si>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</si>
  <si>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</si>
  <si>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</si>
  <si>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</si>
  <si>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</si>
  <si>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</si>
  <si>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</si>
  <si>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</si>
  <si>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</si>
  <si>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</si>
  <si>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</si>
  <si>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</si>
  <si>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</si>
  <si>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</si>
  <si>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</si>
  <si>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</si>
  <si>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</si>
  <si>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</si>
  <si>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</si>
  <si>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</si>
  <si>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</si>
  <si>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</si>
  <si>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</si>
  <si>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</si>
  <si>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</si>
  <si>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</si>
  <si>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</si>
  <si>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</si>
  <si>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</si>
  <si>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</si>
  <si>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</si>
  <si>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</si>
  <si>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</si>
  <si>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</si>
  <si>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</si>
  <si>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</si>
  <si>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</si>
  <si>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</si>
  <si>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</si>
  <si>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</si>
  <si>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</si>
  <si>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</si>
  <si>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</si>
  <si>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</si>
  <si>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</si>
  <si>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</si>
  <si>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</si>
  <si>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</si>
  <si>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</si>
  <si>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</si>
  <si>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</si>
  <si>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</si>
  <si>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</si>
  <si>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</si>
  <si>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</si>
  <si>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</si>
  <si>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</si>
  <si>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</si>
  <si>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</si>
  <si>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</si>
  <si>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</si>
  <si>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</si>
  <si>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</si>
  <si>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</si>
  <si>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</si>
  <si>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</si>
  <si>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</si>
  <si>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</si>
  <si>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</si>
  <si>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</si>
  <si>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</si>
  <si>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</si>
  <si>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</si>
  <si>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</si>
  <si>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</si>
  <si>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</si>
  <si>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</si>
  <si>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</si>
  <si>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</si>
  <si>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</si>
  <si>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</si>
  <si>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</si>
  <si>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</si>
  <si>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</si>
  <si>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</si>
  <si>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</si>
  <si>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</si>
  <si>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</si>
  <si>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</si>
  <si>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</si>
  <si>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</si>
  <si>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</si>
  <si>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</si>
  <si>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</si>
  <si>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</si>
  <si>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</si>
  <si>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</si>
  <si>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</si>
  <si>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</si>
  <si>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</si>
  <si>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</si>
  <si>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</si>
  <si>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</si>
  <si>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</si>
  <si>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</si>
  <si>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</si>
  <si>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</si>
  <si>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</si>
  <si>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</si>
  <si>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</si>
  <si>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</si>
  <si>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</si>
  <si>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</si>
  <si>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</si>
  <si>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</si>
  <si>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</si>
  <si>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</si>
  <si>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</si>
  <si>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</si>
  <si>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</si>
  <si>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</si>
  <si>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</si>
  <si>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</si>
  <si>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</si>
  <si>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</si>
  <si>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</si>
  <si>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</si>
  <si>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</si>
  <si>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</si>
  <si>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</si>
  <si>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</si>
  <si>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</si>
  <si>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</si>
  <si>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</si>
  <si>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</si>
  <si>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</si>
  <si>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</si>
  <si>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</si>
  <si>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</si>
  <si>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</si>
  <si>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</si>
  <si>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</si>
  <si>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</si>
  <si>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</si>
  <si>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</si>
  <si>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</si>
  <si>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</si>
  <si>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</si>
  <si>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</si>
  <si>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</si>
  <si>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</si>
  <si>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</si>
  <si>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</si>
  <si>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</si>
  <si>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</si>
  <si>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</si>
  <si>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</si>
  <si>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</si>
  <si>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</si>
  <si>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</si>
  <si>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</si>
  <si>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</si>
  <si>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</si>
  <si>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</si>
  <si>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</si>
  <si>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</si>
  <si>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</si>
  <si>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</si>
  <si>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</si>
  <si>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</si>
  <si>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</si>
  <si>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</si>
  <si>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</si>
  <si>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</si>
  <si>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</si>
  <si>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</si>
  <si>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</si>
  <si>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</si>
  <si>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</si>
  <si>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</si>
  <si>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</si>
  <si>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</si>
  <si>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</si>
  <si>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</si>
  <si>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</si>
  <si>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</si>
  <si>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</si>
  <si>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</si>
  <si>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</si>
  <si>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</si>
  <si>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</si>
  <si>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</si>
  <si>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</si>
  <si>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</si>
  <si>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</si>
  <si>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</si>
  <si>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</si>
  <si>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</si>
  <si>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</si>
  <si>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</si>
  <si>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</si>
  <si>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</si>
  <si>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</si>
  <si>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</si>
  <si>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</si>
  <si>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</si>
  <si>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</si>
  <si>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</si>
  <si>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</si>
  <si>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</si>
  <si>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</si>
  <si>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</si>
  <si>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</si>
  <si>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</si>
  <si>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</si>
  <si>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</si>
  <si>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</si>
  <si>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</si>
  <si>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</si>
  <si>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</si>
  <si>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</si>
  <si>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</si>
  <si>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</si>
  <si>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</si>
  <si>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</si>
  <si>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</si>
  <si>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</si>
  <si>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</si>
  <si>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</si>
  <si>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</si>
  <si>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</si>
  <si>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</si>
  <si>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</si>
  <si>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</si>
  <si>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</si>
  <si>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</si>
  <si>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</si>
  <si>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</si>
  <si>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</si>
  <si>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</si>
  <si>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</si>
  <si>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</si>
  <si>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</si>
  <si>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</si>
  <si>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</si>
  <si>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</si>
  <si>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</si>
  <si>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</si>
  <si>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</si>
  <si>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</si>
  <si>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</si>
  <si>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</si>
  <si>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</si>
  <si>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</si>
  <si>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</si>
  <si>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</si>
  <si>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</si>
  <si>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</si>
  <si>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</si>
  <si>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</si>
  <si>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</si>
  <si>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</si>
  <si>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</si>
  <si>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</si>
  <si>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</si>
  <si>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</si>
  <si>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</si>
  <si>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</si>
  <si>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</si>
  <si>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</si>
  <si>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</si>
  <si>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</si>
  <si>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</si>
  <si>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</si>
  <si>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</si>
  <si>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</si>
  <si>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</si>
  <si>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</si>
  <si>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</si>
  <si>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</si>
  <si>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</si>
  <si>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</si>
  <si>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</si>
  <si>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</si>
  <si>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</si>
  <si>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</si>
  <si>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</si>
  <si>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</si>
  <si>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</si>
  <si>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</si>
  <si>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</si>
  <si>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</si>
  <si>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</si>
  <si>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</si>
  <si>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</si>
  <si>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</si>
  <si>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</si>
  <si>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</si>
  <si>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</si>
  <si>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</si>
  <si>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</si>
  <si>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</si>
  <si>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</si>
  <si>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</si>
  <si>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</si>
  <si>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</si>
  <si>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</si>
  <si>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</si>
  <si>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</si>
  <si>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</si>
  <si>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</si>
  <si>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</si>
  <si>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</si>
  <si>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</si>
  <si>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</si>
  <si>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</si>
  <si>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</si>
  <si>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</si>
  <si>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</si>
  <si>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</si>
  <si>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</si>
  <si>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</si>
  <si>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</si>
  <si>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</si>
  <si>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</si>
  <si>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</si>
  <si>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</si>
  <si>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</si>
  <si>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</si>
  <si>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</si>
  <si>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</si>
  <si>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</si>
  <si>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</si>
  <si>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</si>
  <si>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</si>
  <si>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</si>
  <si>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</si>
  <si>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</si>
  <si>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</si>
  <si>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</si>
  <si>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</si>
  <si>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</si>
  <si>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</si>
  <si>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</si>
  <si>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</si>
  <si>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</si>
  <si>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</si>
  <si>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</si>
  <si>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</si>
  <si>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</si>
  <si>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</si>
  <si>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</si>
  <si>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</si>
  <si>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</si>
  <si>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</si>
  <si>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</si>
  <si>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</si>
  <si>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</si>
  <si>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</si>
  <si>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</si>
  <si>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</si>
  <si>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</si>
  <si>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</si>
  <si>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</si>
  <si>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</si>
  <si>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</si>
  <si>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</si>
  <si>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</si>
  <si>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</si>
  <si>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</si>
  <si>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</si>
  <si>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</si>
  <si>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</si>
  <si>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</si>
  <si>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</si>
  <si>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</si>
  <si>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</si>
  <si>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</si>
  <si>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</si>
  <si>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</si>
  <si>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</si>
  <si>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</si>
  <si>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</si>
  <si>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</si>
  <si>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</si>
  <si>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</si>
  <si>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</si>
  <si>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</si>
  <si>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</si>
  <si>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</si>
  <si>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</si>
  <si>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</si>
  <si>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</si>
  <si>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</si>
  <si>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</si>
  <si>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</si>
  <si>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</si>
  <si>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</si>
  <si>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</si>
  <si>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</si>
  <si>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</si>
  <si>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</si>
  <si>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</si>
  <si>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</si>
  <si>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</si>
  <si>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</si>
  <si>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</si>
  <si>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</si>
  <si>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</si>
  <si>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</si>
  <si>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</si>
  <si>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</si>
  <si>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</si>
  <si>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</si>
  <si>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</si>
  <si>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</si>
  <si>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</si>
  <si>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</si>
  <si>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</si>
  <si>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</si>
  <si>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</si>
  <si>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</si>
  <si>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</si>
  <si>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</si>
  <si>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</si>
  <si>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</si>
  <si>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</si>
  <si>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</si>
  <si>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</si>
  <si>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</si>
  <si>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</si>
  <si>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</si>
  <si>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</si>
  <si>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</si>
  <si>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</si>
  <si>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</si>
  <si>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</si>
  <si>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</si>
  <si>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</si>
  <si>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</si>
  <si>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</si>
  <si>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</si>
  <si>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</si>
  <si>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</si>
  <si>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</si>
  <si>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</si>
  <si>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</si>
  <si>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</si>
  <si>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</si>
  <si>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</si>
  <si>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</si>
  <si>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</si>
  <si>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</si>
  <si>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</si>
  <si>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</si>
  <si>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</si>
  <si>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</si>
  <si>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</si>
  <si>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</si>
  <si>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</si>
  <si>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</si>
  <si>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</si>
  <si>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</si>
  <si>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</si>
  <si>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</si>
  <si>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</si>
  <si>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</si>
  <si>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</si>
  <si>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</si>
  <si>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</si>
  <si>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</si>
  <si>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</si>
  <si>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</si>
  <si>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</si>
  <si>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</si>
  <si>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</si>
  <si>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</si>
  <si>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</si>
  <si>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</si>
  <si>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</si>
  <si>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</si>
  <si>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</si>
  <si>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</si>
  <si>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</si>
  <si>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</si>
  <si>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</si>
  <si>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</si>
  <si>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</si>
  <si>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</si>
  <si>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</si>
  <si>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</si>
  <si>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</si>
  <si>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</si>
  <si>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</si>
  <si>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</si>
  <si>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</si>
  <si>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</si>
  <si>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</si>
  <si>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</si>
  <si>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</si>
  <si>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</si>
  <si>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</si>
  <si>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</si>
  <si>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</si>
  <si>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</si>
  <si>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</si>
  <si>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</si>
  <si>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</si>
  <si>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</si>
  <si>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</si>
  <si>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</si>
  <si>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</si>
  <si>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</si>
  <si>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</si>
  <si>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</si>
  <si>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</si>
  <si>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</si>
  <si>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</si>
  <si>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</si>
  <si>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</si>
  <si>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</si>
  <si>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</si>
  <si>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</si>
  <si>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</si>
  <si>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</si>
  <si>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</si>
  <si>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</si>
  <si>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</si>
  <si>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</si>
  <si>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</si>
  <si>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</si>
  <si>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</si>
  <si>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</si>
  <si>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</si>
  <si>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</si>
  <si>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</si>
  <si>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</si>
  <si>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</si>
  <si>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</si>
  <si>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</si>
  <si>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</si>
  <si>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</si>
  <si>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</si>
  <si>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</si>
  <si>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</si>
  <si>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</si>
  <si>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</si>
  <si>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</si>
  <si>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</si>
  <si>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</si>
  <si>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</si>
  <si>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</si>
  <si>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</si>
  <si>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</si>
  <si>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</si>
  <si>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</si>
  <si>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</si>
  <si>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</si>
  <si>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</si>
  <si>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</si>
  <si>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</si>
  <si>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</si>
  <si>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</si>
  <si>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</si>
  <si>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</si>
  <si>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</si>
  <si>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</si>
  <si>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</si>
  <si>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</si>
  <si>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</si>
  <si>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</si>
  <si>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</si>
  <si>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</si>
  <si>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</si>
  <si>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</si>
  <si>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</si>
  <si>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</si>
  <si>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</si>
  <si>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</si>
  <si>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</si>
  <si>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</si>
  <si>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</si>
  <si>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</si>
  <si>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</si>
  <si>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</si>
  <si>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</si>
  <si>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</si>
  <si>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</si>
  <si>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</si>
  <si>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</si>
  <si>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</si>
  <si>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</si>
  <si>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</si>
  <si>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</si>
  <si>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</si>
  <si>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</si>
  <si>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</si>
  <si>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</si>
  <si>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</si>
  <si>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</si>
  <si>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</si>
  <si>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</si>
  <si>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</si>
  <si>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</si>
  <si>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</si>
  <si>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</si>
  <si>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</si>
  <si>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</si>
  <si>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</si>
  <si>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</si>
  <si>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</si>
  <si>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</si>
  <si>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</si>
  <si>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</si>
  <si>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</si>
  <si>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</si>
  <si>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</si>
  <si>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</si>
  <si>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</si>
  <si>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</si>
  <si>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</si>
  <si>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</si>
  <si>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</si>
  <si>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</si>
  <si>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</si>
  <si>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</si>
  <si>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</si>
  <si>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</si>
  <si>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</si>
  <si>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</si>
  <si>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</si>
  <si>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</si>
  <si>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</si>
  <si>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</si>
  <si>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</si>
  <si>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</si>
  <si>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</si>
  <si>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</si>
  <si>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</si>
  <si>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</si>
  <si>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</si>
  <si>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</si>
  <si>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</si>
  <si>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</si>
  <si>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</si>
  <si>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</si>
  <si>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</si>
  <si>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</si>
  <si>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</si>
  <si>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</si>
  <si>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</si>
  <si>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</si>
  <si>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</si>
  <si>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</si>
  <si>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</si>
  <si>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</si>
  <si>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</si>
  <si>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</si>
  <si>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</si>
  <si>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</si>
  <si>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</si>
  <si>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</si>
  <si>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</si>
  <si>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</si>
  <si>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</si>
  <si>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</si>
  <si>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</si>
  <si>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</si>
  <si>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</si>
  <si>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</si>
  <si>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</si>
  <si>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</si>
  <si>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</si>
  <si>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</si>
  <si>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</si>
  <si>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</si>
  <si>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</si>
  <si>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</si>
  <si>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</si>
  <si>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</si>
  <si>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</si>
  <si>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</si>
  <si>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</si>
  <si>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</si>
  <si>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</si>
  <si>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</si>
  <si>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</si>
  <si>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</si>
  <si>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</si>
  <si>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</si>
  <si>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</si>
  <si>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</si>
  <si>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</si>
  <si>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</si>
  <si>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</si>
  <si>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</si>
  <si>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</si>
  <si>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</si>
  <si>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</si>
  <si>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</si>
  <si>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</si>
  <si>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</si>
  <si>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</si>
  <si>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</si>
  <si>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</si>
  <si>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</si>
  <si>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</si>
  <si>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</si>
  <si>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</si>
  <si>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</si>
  <si>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</si>
  <si>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</si>
  <si>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</si>
  <si>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</si>
  <si>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</si>
  <si>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</si>
  <si>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</si>
  <si>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</si>
  <si>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</si>
  <si>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</si>
  <si>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</si>
  <si>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</si>
  <si>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</si>
  <si>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</si>
  <si>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</si>
  <si>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</si>
  <si>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</si>
  <si>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</si>
  <si>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</si>
  <si>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</si>
  <si>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</si>
  <si>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</si>
  <si>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</si>
  <si>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</si>
  <si>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</si>
  <si>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</si>
  <si>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</si>
  <si>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</si>
  <si>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</si>
  <si>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</si>
  <si>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</si>
  <si>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</si>
  <si>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</si>
  <si>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</si>
  <si>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</si>
  <si>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</si>
  <si>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</si>
  <si>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</si>
  <si>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</si>
  <si>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</si>
  <si>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</si>
  <si>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</si>
  <si>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</si>
  <si>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</si>
  <si>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</si>
  <si>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</si>
  <si>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</si>
  <si>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</si>
  <si>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</si>
  <si>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</si>
  <si>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</si>
  <si>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</si>
  <si>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</si>
  <si>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</si>
  <si>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</si>
  <si>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</si>
  <si>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</si>
  <si>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</si>
  <si>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</si>
  <si>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</si>
  <si>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</si>
  <si>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</si>
  <si>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</si>
  <si>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</si>
  <si>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</si>
  <si>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</si>
  <si>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</si>
  <si>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</si>
  <si>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</si>
  <si>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</si>
  <si>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</si>
  <si>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</si>
  <si>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</si>
  <si>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</si>
  <si>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</si>
  <si>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</si>
  <si>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</si>
  <si>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</si>
  <si>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</si>
  <si>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</si>
  <si>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</si>
  <si>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</si>
  <si>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</si>
  <si>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</si>
  <si>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</si>
  <si>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</si>
  <si>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</si>
  <si>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</si>
  <si>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</si>
  <si>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</si>
  <si>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</si>
  <si>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</si>
  <si>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</si>
  <si>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</si>
  <si>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</si>
  <si>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</si>
  <si>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</si>
  <si>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</si>
  <si>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</si>
  <si>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</si>
  <si>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</si>
  <si>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</si>
  <si>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</si>
  <si>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</si>
  <si>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</si>
  <si>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</si>
  <si>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</si>
  <si>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</si>
  <si>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</si>
  <si>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</si>
  <si>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</si>
  <si>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</si>
  <si>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</si>
  <si>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</si>
  <si>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</si>
  <si>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</si>
  <si>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</si>
  <si>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</si>
  <si>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</si>
  <si>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</si>
  <si>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</si>
  <si>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</si>
  <si>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</si>
  <si>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</si>
  <si>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</si>
  <si>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</si>
  <si>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</si>
  <si>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</si>
  <si>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</si>
  <si>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</si>
  <si>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</si>
  <si>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</si>
  <si>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</si>
  <si>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</si>
  <si>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</si>
  <si>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</si>
  <si>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</si>
  <si>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</si>
  <si>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</si>
  <si>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</si>
  <si>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</si>
  <si>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</si>
  <si>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</si>
  <si>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</si>
  <si>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</si>
  <si>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</si>
  <si>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</si>
  <si>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</si>
  <si>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</si>
  <si>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</si>
  <si>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</si>
  <si>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</si>
  <si>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</si>
  <si>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</si>
  <si>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</si>
  <si>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</si>
  <si>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</si>
  <si>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</si>
  <si>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</si>
  <si>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</si>
  <si>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</si>
  <si>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</si>
  <si>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</si>
  <si>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</si>
  <si>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</si>
  <si>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</si>
  <si>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</si>
  <si>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</si>
  <si>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</si>
  <si>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</si>
  <si>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</si>
  <si>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</si>
  <si>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</si>
  <si>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</si>
  <si>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</si>
  <si>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</si>
  <si>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</si>
  <si>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</si>
  <si>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</si>
  <si>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</si>
  <si>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</si>
  <si>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</si>
  <si>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</si>
  <si>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</si>
  <si>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</si>
  <si>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</si>
  <si>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</si>
  <si>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</si>
  <si>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</si>
  <si>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</si>
  <si>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</si>
  <si>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</si>
  <si>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</si>
  <si>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</si>
  <si>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</si>
  <si>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</si>
  <si>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</si>
  <si>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</si>
  <si>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</si>
  <si>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</si>
  <si>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</si>
  <si>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</si>
  <si>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</si>
  <si>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</si>
  <si>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</si>
  <si>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</si>
  <si>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</si>
  <si>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</si>
  <si>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</si>
  <si>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</si>
  <si>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</si>
  <si>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</si>
  <si>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</si>
  <si>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</si>
  <si>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</si>
  <si>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</si>
  <si>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</si>
  <si>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</si>
  <si>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</si>
  <si>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</si>
  <si>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</si>
  <si>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</si>
  <si>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</si>
  <si>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</si>
  <si>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</si>
  <si>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</si>
  <si>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</si>
  <si>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</si>
  <si>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</si>
  <si>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</si>
  <si>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</si>
  <si>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</si>
  <si>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</si>
  <si>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</si>
  <si>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</si>
  <si>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</si>
  <si>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</si>
  <si>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</si>
  <si>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</si>
  <si>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</si>
  <si>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</si>
  <si>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</si>
  <si>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</si>
  <si>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</si>
  <si>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</si>
  <si>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</si>
  <si>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</si>
  <si>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</si>
  <si>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</si>
  <si>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</si>
  <si>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</si>
  <si>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</si>
  <si>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</si>
  <si>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</si>
  <si>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</si>
  <si>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</si>
  <si>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</si>
  <si>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</si>
  <si>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</si>
  <si>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</si>
  <si>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</si>
  <si>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</si>
  <si>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</si>
  <si>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</si>
  <si>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</si>
  <si>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</si>
  <si>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</si>
  <si>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</si>
  <si>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</si>
  <si>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</si>
  <si>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</si>
  <si>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</si>
  <si>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</si>
  <si>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</si>
  <si>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</si>
  <si>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</si>
  <si>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</si>
  <si>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</si>
  <si>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</si>
  <si>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</si>
  <si>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</si>
  <si>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</si>
  <si>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</si>
  <si>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</si>
  <si>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</si>
  <si>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</si>
  <si>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</si>
  <si>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</si>
  <si>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</si>
  <si>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</si>
  <si>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</si>
  <si>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</si>
  <si>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</si>
  <si>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</si>
  <si>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</si>
  <si>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</si>
  <si>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</si>
  <si>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</si>
  <si>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</si>
  <si>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</si>
  <si>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</si>
  <si>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</si>
  <si>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</si>
  <si>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</si>
  <si>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</si>
  <si>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</si>
  <si>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</si>
  <si>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</si>
  <si>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</si>
  <si>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</si>
  <si>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</si>
  <si>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</si>
  <si>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</si>
  <si>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</si>
  <si>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</si>
  <si>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</si>
  <si>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</si>
  <si>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</si>
  <si>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</si>
  <si>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</si>
  <si>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</si>
  <si>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</si>
  <si>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</si>
  <si>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</si>
  <si>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</si>
  <si>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</si>
  <si>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</si>
  <si>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</si>
  <si>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</si>
  <si>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</si>
  <si>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</si>
  <si>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</si>
  <si>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</si>
  <si>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</si>
  <si>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</si>
  <si>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</si>
  <si>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</si>
  <si>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</si>
  <si>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</si>
  <si>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</si>
  <si>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</si>
  <si>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</si>
  <si>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</si>
  <si>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</si>
  <si>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</si>
  <si>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</si>
  <si>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</si>
  <si>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</si>
  <si>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</si>
  <si>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</si>
  <si>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</si>
  <si>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</si>
  <si>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</si>
  <si>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</si>
  <si>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</si>
  <si>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</si>
  <si>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</si>
  <si>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</si>
  <si>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</si>
  <si>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</si>
  <si>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</si>
  <si>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</si>
  <si>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</si>
  <si>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</si>
  <si>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</si>
  <si>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</si>
  <si>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</si>
  <si>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</si>
  <si>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</si>
  <si>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</si>
  <si>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</si>
  <si>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</si>
  <si>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</si>
  <si>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</si>
  <si>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</si>
  <si>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</si>
  <si>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</si>
  <si>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</si>
  <si>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</si>
  <si>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</si>
  <si>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</si>
  <si>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</si>
  <si>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</si>
  <si>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</si>
  <si>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</si>
  <si>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</si>
  <si>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</si>
  <si>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</si>
  <si>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</si>
  <si>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</si>
  <si>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</si>
  <si>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</si>
  <si>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</si>
  <si>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</si>
  <si>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</si>
  <si>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</si>
  <si>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</si>
  <si>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</si>
  <si>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</si>
  <si>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</si>
  <si>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</si>
  <si>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</si>
  <si>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</si>
  <si>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</si>
  <si>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</si>
  <si>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</si>
  <si>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</si>
  <si>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</si>
  <si>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</si>
  <si>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</si>
  <si>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</si>
  <si>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</si>
  <si>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</si>
  <si>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</si>
  <si>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</si>
  <si>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</si>
  <si>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</si>
  <si>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</si>
  <si>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</si>
  <si>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</si>
  <si>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</si>
  <si>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</si>
  <si>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</si>
  <si>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</si>
  <si>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</si>
  <si>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</si>
  <si>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</si>
  <si>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</si>
  <si>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</si>
  <si>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</si>
  <si>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</si>
  <si>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</si>
  <si>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</si>
  <si>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</si>
  <si>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</si>
  <si>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</si>
  <si>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</si>
  <si>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</si>
  <si>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</si>
  <si>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</si>
  <si>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</si>
  <si>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</si>
  <si>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</si>
  <si>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</si>
  <si>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</si>
  <si>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</si>
  <si>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</si>
  <si>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</si>
  <si>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</si>
  <si>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</si>
  <si>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</si>
  <si>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</si>
  <si>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</si>
  <si>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</si>
  <si>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</si>
  <si>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</si>
  <si>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</si>
  <si>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</si>
  <si>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</si>
  <si>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</si>
  <si>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</si>
  <si>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</si>
  <si>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</si>
  <si>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</si>
  <si>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</si>
  <si>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</si>
  <si>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</si>
  <si>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</si>
  <si>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</si>
  <si>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</si>
  <si>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</si>
  <si>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</si>
  <si>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</si>
  <si>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</si>
  <si>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</si>
  <si>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</si>
  <si>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</si>
  <si>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</si>
  <si>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</si>
  <si>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</si>
  <si>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</si>
  <si>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</si>
  <si>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</si>
  <si>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</si>
  <si>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</si>
  <si>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</si>
  <si>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</si>
  <si>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</si>
  <si>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</si>
  <si>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</si>
  <si>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</si>
  <si>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</si>
  <si>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</si>
  <si>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</si>
  <si>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</si>
  <si>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</si>
  <si>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</si>
  <si>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</si>
  <si>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</si>
  <si>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</si>
  <si>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</si>
  <si>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</si>
  <si>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</si>
  <si>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</si>
  <si>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</si>
  <si>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</si>
  <si>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</si>
  <si>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</si>
  <si>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</si>
  <si>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</si>
  <si>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</si>
  <si>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</si>
  <si>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</si>
  <si>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</si>
  <si>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</si>
  <si>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</si>
  <si>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</si>
  <si>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</si>
  <si>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</si>
  <si>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</si>
  <si>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</si>
  <si>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</si>
  <si>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</si>
  <si>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</si>
  <si>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</si>
  <si>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</si>
  <si>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</si>
  <si>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</si>
  <si>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</si>
  <si>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</si>
  <si>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</si>
  <si>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</si>
  <si>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</si>
  <si>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</si>
  <si>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</si>
  <si>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</si>
  <si>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</si>
  <si>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</si>
  <si>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</si>
  <si>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</si>
  <si>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</si>
  <si>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</si>
  <si>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</si>
  <si>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</si>
  <si>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</si>
  <si>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</si>
  <si>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</si>
  <si>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</si>
  <si>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</si>
  <si>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</si>
  <si>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</si>
  <si>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</si>
  <si>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</si>
  <si>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</si>
  <si>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</si>
  <si>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</si>
  <si>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</si>
  <si>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</si>
  <si>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</si>
  <si>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</si>
  <si>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</si>
  <si>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</si>
  <si>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</si>
  <si>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</si>
  <si>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</si>
  <si>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</si>
  <si>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</si>
  <si>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</si>
  <si>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</si>
  <si>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</si>
  <si>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</si>
  <si>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</si>
  <si>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</si>
  <si>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</si>
  <si>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</si>
  <si>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</si>
  <si>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</si>
  <si>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</si>
  <si>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</si>
  <si>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</si>
  <si>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</si>
  <si>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</si>
  <si>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</si>
  <si>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</si>
  <si>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</si>
  <si>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</si>
  <si>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</si>
  <si>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</si>
  <si>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</si>
  <si>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</si>
  <si>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</si>
  <si>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</si>
  <si>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</si>
  <si>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</si>
  <si>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</si>
  <si>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</si>
  <si>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</si>
  <si>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</si>
  <si>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</si>
  <si>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</si>
  <si>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</si>
  <si>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</si>
  <si>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</si>
  <si>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</si>
  <si>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</si>
  <si>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</si>
  <si>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</si>
  <si>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</si>
  <si>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</si>
  <si>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</si>
  <si>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</si>
  <si>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</si>
  <si>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</si>
  <si>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</si>
  <si>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</si>
  <si>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</si>
  <si>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</si>
  <si>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</si>
  <si>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</si>
  <si>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</si>
  <si>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</si>
  <si>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</si>
  <si>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</si>
  <si>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</si>
  <si>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</si>
  <si>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</si>
  <si>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</si>
  <si>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</si>
  <si>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</si>
  <si>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</si>
  <si>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</si>
  <si>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</si>
  <si>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</si>
  <si>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</si>
  <si>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</si>
  <si>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</si>
  <si>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</si>
  <si>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</si>
  <si>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</si>
  <si>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</si>
  <si>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</si>
  <si>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</si>
  <si>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</si>
  <si>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</si>
  <si>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</si>
  <si>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</si>
  <si>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</si>
  <si>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</si>
  <si>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</si>
  <si>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</si>
  <si>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</si>
  <si>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</si>
  <si>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</si>
  <si>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</si>
  <si>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</si>
  <si>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</si>
  <si>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</si>
  <si>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</si>
  <si>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</si>
  <si>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</si>
  <si>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</si>
  <si>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</si>
  <si>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</si>
  <si>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</si>
  <si>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</si>
  <si>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</si>
  <si>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</si>
  <si>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</si>
  <si>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</si>
  <si>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</si>
  <si>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</si>
  <si>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</si>
  <si>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</si>
  <si>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</si>
  <si>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</si>
  <si>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</si>
  <si>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</si>
  <si>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</si>
  <si>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</si>
  <si>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</si>
  <si>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</si>
  <si>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</si>
  <si>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</si>
  <si>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</si>
  <si>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</si>
  <si>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</si>
  <si>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</si>
  <si>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</si>
  <si>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</si>
  <si>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</si>
  <si>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</si>
  <si>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</si>
  <si>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</si>
  <si>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</si>
  <si>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</si>
  <si>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</si>
  <si>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</si>
  <si>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</si>
  <si>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</si>
  <si>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</si>
  <si>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</si>
  <si>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</si>
  <si>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</si>
  <si>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</si>
  <si>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</si>
  <si>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</si>
  <si>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</si>
  <si>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</si>
  <si>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</si>
  <si>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</si>
  <si>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</si>
  <si>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</si>
  <si>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</si>
  <si>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</si>
  <si>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</si>
  <si>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</si>
  <si>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</si>
  <si>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</si>
  <si>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</si>
  <si>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</si>
  <si>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</si>
  <si>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</si>
  <si>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</si>
  <si>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</si>
  <si>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</si>
  <si>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</si>
  <si>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</si>
  <si>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</si>
  <si>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</si>
  <si>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</si>
  <si>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</si>
  <si>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</si>
  <si>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</si>
  <si>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</si>
  <si>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</si>
  <si>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</si>
  <si>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</si>
  <si>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</si>
  <si>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</si>
  <si>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</si>
  <si>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</si>
  <si>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</si>
  <si>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</si>
  <si>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</si>
  <si>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</si>
  <si>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</si>
  <si>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</si>
  <si>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</si>
  <si>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</si>
  <si>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</si>
  <si>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</si>
  <si>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</si>
  <si>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</si>
  <si>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</si>
  <si>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</si>
  <si>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</si>
  <si>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</si>
  <si>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</si>
  <si>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</si>
  <si>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</si>
  <si>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</si>
  <si>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</si>
  <si>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</si>
  <si>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</si>
  <si>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</si>
  <si>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</si>
  <si>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</si>
  <si>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</si>
  <si>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</si>
  <si>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</si>
  <si>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</si>
  <si>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</si>
  <si>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</si>
  <si>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</si>
  <si>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</si>
  <si>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</si>
  <si>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</si>
  <si>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</si>
  <si>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</si>
  <si>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</si>
  <si>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</si>
  <si>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</si>
  <si>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</si>
  <si>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</si>
  <si>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</si>
  <si>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</si>
  <si>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</si>
  <si>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</si>
  <si>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</si>
  <si>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</si>
  <si>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</si>
  <si>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</si>
  <si>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</si>
  <si>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</si>
  <si>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</si>
  <si>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</si>
  <si>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</si>
  <si>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</si>
  <si>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</si>
  <si>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</si>
  <si>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</si>
  <si>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</si>
  <si>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</si>
  <si>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</si>
  <si>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</si>
  <si>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</si>
  <si>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</si>
  <si>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</si>
  <si>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</si>
  <si>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</si>
  <si>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</si>
  <si>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</si>
  <si>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</si>
  <si>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</si>
  <si>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</si>
  <si>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</si>
  <si>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</si>
  <si>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</si>
  <si>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</si>
  <si>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</si>
  <si>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</si>
  <si>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</si>
  <si>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</si>
  <si>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</si>
  <si>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</si>
  <si>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</si>
  <si>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</si>
  <si>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</si>
  <si>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</si>
  <si>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</si>
  <si>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</si>
  <si>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</si>
  <si>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</si>
  <si>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</si>
  <si>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</si>
  <si>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</si>
  <si>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</si>
  <si>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</si>
  <si>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</si>
  <si>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</si>
  <si>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</si>
  <si>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</si>
  <si>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</si>
  <si>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</si>
  <si>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</si>
  <si>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</si>
  <si>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</si>
  <si>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</si>
  <si>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</si>
  <si>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</si>
  <si>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</si>
  <si>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</si>
  <si>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</si>
  <si>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</si>
  <si>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</si>
  <si>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</si>
  <si>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</si>
  <si>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</si>
  <si>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</si>
  <si>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</si>
  <si>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</si>
  <si>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</si>
  <si>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</si>
  <si>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</si>
  <si>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</si>
  <si>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</si>
  <si>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</si>
  <si>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</si>
  <si>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</si>
  <si>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</si>
  <si>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</si>
  <si>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</si>
  <si>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</si>
  <si>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</si>
  <si>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</si>
  <si>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</si>
  <si>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</si>
  <si>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</si>
  <si>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</si>
  <si>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</si>
  <si>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</si>
  <si>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</si>
  <si>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</si>
  <si>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</si>
  <si>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</si>
  <si>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</si>
  <si>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</si>
  <si>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</si>
  <si>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</si>
  <si>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</si>
  <si>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</si>
  <si>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</si>
  <si>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</si>
  <si>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</si>
  <si>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</si>
  <si>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</si>
  <si>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</si>
  <si>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</si>
  <si>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</si>
  <si>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</si>
  <si>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</si>
  <si>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</si>
  <si>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</si>
  <si>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</si>
  <si>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</si>
  <si>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</si>
  <si>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</si>
  <si>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</si>
  <si>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</si>
  <si>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</si>
  <si>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</si>
  <si>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</si>
  <si>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</si>
  <si>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</si>
  <si>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</si>
  <si>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</si>
  <si>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</si>
  <si>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</si>
  <si>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</si>
  <si>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</si>
  <si>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</si>
  <si>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</si>
  <si>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</si>
  <si>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</si>
  <si>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</si>
  <si>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</si>
  <si>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</si>
  <si>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</si>
  <si>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</si>
  <si>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</si>
  <si>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</si>
  <si>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</si>
  <si>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</si>
  <si>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</si>
  <si>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</si>
  <si>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</si>
  <si>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</si>
  <si>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</si>
  <si>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</si>
  <si>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</si>
  <si>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</si>
  <si>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</si>
  <si>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</si>
  <si>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</si>
  <si>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</si>
  <si>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</si>
  <si>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</si>
  <si>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</si>
  <si>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</si>
  <si>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</si>
  <si>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</si>
  <si>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</si>
  <si>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</si>
  <si>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</si>
  <si>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</si>
  <si>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</si>
  <si>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</si>
  <si>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</si>
  <si>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</si>
  <si>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</si>
  <si>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</si>
  <si>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</si>
  <si>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</si>
  <si>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</si>
  <si>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</si>
  <si>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</si>
  <si>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</si>
  <si>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</si>
  <si>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</si>
  <si>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</si>
  <si>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</si>
  <si>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</si>
  <si>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</si>
  <si>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</si>
  <si>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</si>
  <si>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</si>
  <si>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</si>
  <si>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</si>
  <si>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</si>
  <si>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</si>
  <si>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</si>
  <si>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</si>
  <si>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</si>
  <si>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</si>
  <si>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</si>
  <si>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</si>
  <si>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</si>
  <si>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</si>
  <si>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</si>
  <si>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</si>
  <si>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</si>
  <si>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</si>
  <si>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</si>
  <si>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</si>
  <si>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</si>
  <si>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</si>
  <si>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</si>
  <si>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</si>
  <si>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</si>
  <si>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</si>
  <si>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</si>
  <si>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</si>
  <si>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</si>
  <si>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</si>
  <si>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</si>
  <si>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</si>
  <si>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</si>
  <si>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</si>
  <si>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</si>
  <si>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</si>
  <si>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</si>
  <si>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</si>
  <si>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</si>
  <si>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</si>
  <si>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</si>
  <si>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</si>
  <si>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</si>
  <si>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</si>
  <si>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</si>
  <si>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</si>
  <si>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</si>
  <si>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</si>
  <si>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</si>
  <si>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</si>
  <si>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</si>
  <si>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</si>
  <si>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</si>
  <si>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</si>
  <si>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</si>
  <si>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</si>
  <si>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</si>
  <si>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</si>
  <si>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</si>
  <si>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</si>
  <si>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</si>
  <si>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</si>
  <si>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</si>
  <si>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</si>
  <si>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</si>
  <si>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</si>
  <si>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</si>
  <si>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</si>
  <si>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</si>
  <si>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</si>
  <si>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</si>
  <si>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</si>
  <si>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</si>
  <si>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</si>
  <si>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</si>
  <si>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</si>
  <si>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</si>
  <si>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</si>
  <si>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</si>
  <si>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</si>
  <si>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</si>
  <si>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</si>
  <si>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</si>
  <si>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</si>
  <si>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</si>
  <si>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</si>
  <si>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</si>
  <si>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</si>
  <si>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</si>
  <si>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</si>
  <si>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</si>
  <si>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</si>
  <si>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</si>
  <si>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</si>
  <si>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</si>
  <si>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</si>
  <si>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</si>
  <si>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</si>
  <si>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</si>
  <si>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</si>
  <si>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</si>
  <si>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</si>
  <si>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</si>
  <si>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</si>
  <si>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</si>
  <si>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</si>
  <si>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</si>
  <si>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</si>
  <si>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</si>
  <si>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</si>
  <si>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</si>
  <si>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</si>
  <si>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</si>
  <si>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</si>
  <si>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</si>
  <si>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</si>
  <si>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</si>
  <si>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</si>
  <si>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</si>
  <si>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</si>
  <si>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</si>
  <si>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</si>
  <si>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</si>
  <si>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</si>
  <si>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</si>
  <si>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</si>
  <si>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</si>
  <si>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</si>
  <si>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</si>
  <si>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</si>
  <si>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</si>
  <si>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</si>
  <si>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</si>
  <si>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</si>
  <si>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</si>
  <si>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</si>
  <si>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</si>
  <si>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</si>
  <si>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</si>
  <si>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</si>
  <si>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</si>
  <si>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</si>
  <si>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</si>
  <si>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</si>
  <si>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</si>
  <si>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</si>
  <si>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</si>
  <si>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</si>
  <si>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</si>
  <si>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</si>
  <si>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</si>
  <si>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</si>
  <si>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</si>
  <si>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</si>
  <si>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</si>
  <si>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</si>
  <si>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</si>
  <si>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</si>
  <si>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</si>
  <si>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</si>
  <si>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</si>
  <si>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</si>
  <si>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</si>
  <si>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</si>
  <si>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</si>
  <si>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</si>
  <si>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</si>
  <si>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</si>
  <si>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</si>
  <si>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</si>
  <si>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</si>
  <si>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</si>
  <si>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</si>
  <si>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</si>
  <si>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</si>
  <si>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</si>
  <si>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</si>
  <si>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</si>
  <si>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</si>
  <si>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</si>
  <si>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</si>
  <si>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</si>
  <si>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</si>
  <si>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</si>
  <si>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</si>
  <si>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</si>
  <si>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</si>
  <si>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</si>
  <si>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</si>
  <si>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</si>
  <si>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</si>
  <si>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</si>
  <si>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</si>
  <si>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</si>
  <si>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</si>
  <si>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</si>
  <si>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</si>
  <si>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</si>
  <si>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</si>
  <si>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</si>
  <si>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</si>
  <si>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</si>
  <si>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</si>
  <si>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</si>
  <si>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</si>
  <si>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</si>
  <si>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</si>
  <si>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</si>
  <si>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</si>
  <si>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</si>
  <si>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</si>
  <si>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</si>
  <si>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</si>
  <si>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</si>
  <si>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</si>
  <si>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</si>
  <si>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</si>
  <si>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</si>
  <si>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</si>
  <si>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</si>
  <si>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</si>
  <si>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</si>
  <si>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</si>
  <si>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</si>
  <si>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</si>
  <si>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</si>
  <si>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</si>
  <si>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</si>
  <si>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</si>
  <si>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</si>
  <si>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</si>
  <si>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</si>
  <si>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</si>
  <si>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</si>
  <si>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</si>
  <si>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</si>
  <si>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</si>
  <si>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</si>
  <si>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</si>
  <si>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</si>
  <si>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</si>
  <si>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</si>
  <si>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</si>
  <si>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</si>
  <si>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</si>
  <si>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</si>
  <si>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</si>
  <si>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</si>
  <si>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</si>
  <si>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</si>
  <si>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</si>
  <si>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</si>
  <si>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</si>
  <si>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</si>
  <si>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</si>
  <si>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</si>
  <si>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</si>
  <si>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</si>
  <si>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</si>
  <si>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</si>
  <si>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</si>
  <si>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</si>
  <si>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</si>
  <si>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</si>
  <si>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</si>
  <si>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</si>
  <si>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</si>
  <si>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</si>
  <si>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</si>
  <si>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</si>
  <si>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</si>
  <si>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</si>
  <si>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</si>
  <si>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</si>
  <si>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</si>
  <si>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</si>
  <si>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</si>
  <si>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</si>
  <si>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</si>
  <si>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</si>
  <si>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</si>
  <si>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</si>
  <si>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</si>
  <si>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</si>
  <si>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</si>
  <si>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</si>
  <si>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</si>
  <si>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</si>
  <si>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</si>
  <si>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</si>
  <si>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</si>
  <si>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</si>
  <si>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</si>
  <si>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</si>
  <si>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</si>
  <si>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</si>
  <si>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</si>
  <si>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</si>
  <si>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</si>
  <si>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</si>
  <si>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</si>
  <si>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</si>
  <si>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</si>
  <si>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</si>
  <si>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</si>
  <si>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</si>
  <si>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</si>
  <si>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</si>
  <si>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</si>
  <si>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</si>
  <si>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</si>
  <si>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</si>
  <si>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</si>
  <si>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</si>
  <si>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</si>
  <si>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</si>
  <si>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</si>
  <si>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</si>
  <si>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</si>
  <si>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</si>
  <si>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</si>
  <si>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</si>
  <si>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</si>
  <si>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</si>
  <si>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</si>
  <si>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</si>
  <si>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</si>
  <si>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</si>
  <si>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</si>
  <si>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</si>
  <si>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</si>
  <si>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</si>
  <si>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</si>
  <si>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</si>
  <si>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</si>
  <si>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</si>
  <si>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</si>
  <si>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</si>
  <si>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</si>
  <si>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</si>
  <si>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</si>
  <si>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</si>
  <si>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</si>
  <si>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</si>
  <si>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</si>
  <si>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</si>
  <si>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</si>
  <si>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</si>
  <si>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</si>
  <si>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</si>
  <si>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</si>
  <si>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</si>
  <si>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</si>
  <si>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</si>
  <si>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</si>
  <si>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</si>
  <si>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</si>
  <si>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</si>
  <si>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</si>
  <si>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</si>
  <si>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</si>
  <si>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</si>
  <si>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</si>
  <si>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</si>
  <si>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</si>
  <si>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</si>
  <si>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</si>
  <si>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</si>
  <si>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</si>
  <si>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</si>
  <si>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</si>
  <si>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</si>
  <si>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</si>
  <si>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</si>
  <si>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</si>
  <si>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</si>
  <si>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</si>
  <si>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</si>
  <si>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</si>
  <si>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</si>
  <si>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</si>
  <si>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</si>
  <si>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</si>
  <si>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</si>
  <si>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</si>
  <si>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</si>
  <si>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</si>
  <si>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</si>
  <si>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</si>
  <si>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</si>
  <si>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</si>
  <si>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</si>
  <si>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</si>
  <si>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</si>
  <si>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</si>
  <si>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</si>
  <si>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</si>
  <si>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</si>
  <si>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</si>
  <si>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</si>
  <si>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</si>
  <si>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</si>
  <si>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</si>
  <si>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</si>
  <si>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</si>
  <si>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</si>
  <si>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</si>
  <si>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</si>
  <si>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</si>
  <si>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</si>
  <si>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</si>
  <si>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</si>
  <si>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</si>
  <si>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</si>
  <si>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</si>
  <si>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</si>
  <si>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</si>
  <si>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</si>
  <si>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</si>
  <si>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</si>
  <si>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</si>
  <si>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</si>
  <si>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</si>
  <si>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</si>
  <si>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</si>
  <si>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</si>
  <si>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</si>
  <si>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</si>
  <si>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</si>
  <si>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</si>
  <si>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</si>
  <si>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</si>
  <si>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</si>
  <si>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</si>
  <si>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</si>
  <si>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</si>
  <si>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</si>
  <si>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</si>
  <si>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</si>
  <si>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</si>
  <si>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</si>
  <si>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</si>
  <si>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</si>
  <si>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</si>
  <si>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</si>
  <si>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</si>
  <si>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</si>
  <si>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</si>
  <si>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</si>
  <si>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</si>
  <si>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</si>
  <si>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</si>
  <si>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</si>
  <si>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</si>
  <si>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</si>
  <si>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</si>
  <si>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</si>
  <si>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</si>
  <si>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</si>
  <si>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</si>
  <si>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</si>
  <si>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</si>
  <si>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</si>
  <si>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</si>
  <si>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</si>
  <si>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</si>
  <si>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</si>
  <si>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</si>
  <si>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</si>
  <si>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</si>
  <si>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</si>
  <si>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</si>
  <si>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</si>
  <si>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</si>
  <si>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</si>
  <si>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</si>
  <si>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</si>
  <si>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</si>
  <si>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</si>
  <si>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</si>
  <si>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</si>
  <si>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</si>
  <si>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</si>
  <si>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</si>
  <si>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</si>
  <si>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</si>
  <si>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</si>
  <si>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</si>
  <si>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</si>
  <si>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</si>
  <si>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</si>
  <si>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</si>
  <si>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</si>
  <si>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</si>
  <si>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</si>
  <si>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</si>
  <si>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</si>
  <si>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</si>
  <si>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</si>
  <si>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</si>
  <si>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</si>
  <si>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</si>
  <si>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</si>
  <si>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</si>
  <si>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</si>
  <si>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</si>
  <si>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</si>
  <si>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</si>
  <si>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</si>
  <si>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</si>
  <si>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</si>
  <si>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</si>
  <si>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</si>
  <si>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</si>
  <si>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</si>
  <si>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</si>
  <si>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</si>
  <si>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</si>
  <si>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</si>
  <si>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</si>
  <si>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</si>
  <si>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</si>
  <si>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</si>
  <si>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</si>
  <si>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</si>
  <si>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</si>
  <si>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</si>
  <si>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</si>
  <si>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</si>
  <si>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</si>
  <si>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</si>
  <si>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</si>
  <si>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</si>
  <si>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</si>
  <si>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</si>
  <si>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</si>
  <si>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</si>
  <si>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</si>
  <si>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</si>
  <si>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</si>
  <si>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</si>
  <si>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</si>
  <si>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</si>
  <si>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</si>
  <si>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</si>
  <si>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</si>
  <si>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</si>
  <si>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</si>
  <si>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</si>
  <si>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</si>
  <si>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</si>
  <si>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</si>
  <si>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</si>
  <si>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</si>
  <si>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</si>
  <si>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</si>
  <si>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</si>
  <si>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</si>
  <si>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</si>
  <si>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</si>
  <si>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</si>
  <si>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</si>
  <si>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</si>
  <si>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</si>
  <si>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</si>
  <si>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</si>
  <si>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</si>
  <si>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</si>
  <si>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</si>
  <si>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</si>
  <si>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</si>
  <si>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</si>
  <si>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</si>
  <si>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</si>
  <si>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</si>
  <si>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</si>
  <si>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</si>
  <si>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</si>
  <si>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</si>
  <si>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</si>
  <si>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</si>
  <si>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</si>
  <si>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</si>
  <si>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</si>
  <si>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</si>
  <si>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</si>
  <si>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</si>
  <si>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</si>
  <si>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</si>
  <si>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</si>
  <si>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</si>
  <si>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</si>
  <si>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</si>
  <si>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</si>
  <si>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</si>
  <si>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</si>
  <si>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</si>
  <si>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</si>
  <si>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</si>
  <si>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</si>
  <si>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</si>
  <si>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</si>
  <si>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</si>
  <si>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</si>
  <si>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</si>
  <si>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</si>
  <si>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</si>
  <si>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</si>
  <si>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</si>
  <si>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</si>
  <si>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</si>
  <si>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</si>
  <si>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</si>
  <si>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</si>
  <si>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</si>
  <si>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</si>
  <si>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</si>
  <si>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</si>
  <si>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</si>
  <si>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</si>
  <si>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</si>
  <si>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</si>
  <si>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</si>
  <si>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</si>
  <si>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</si>
  <si>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</si>
  <si>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</si>
  <si>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</si>
  <si>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</si>
  <si>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</si>
  <si>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</si>
  <si>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</si>
  <si>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</si>
  <si>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</si>
  <si>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</si>
  <si>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</si>
  <si>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</si>
  <si>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</si>
  <si>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</si>
  <si>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</si>
  <si>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</si>
  <si>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</si>
  <si>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</si>
  <si>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</si>
  <si>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</si>
  <si>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</si>
  <si>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</si>
  <si>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</si>
  <si>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</si>
  <si>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</si>
  <si>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</si>
  <si>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</si>
  <si>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</si>
  <si>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</si>
  <si>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</si>
  <si>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</si>
  <si>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</si>
  <si>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</si>
  <si>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</si>
  <si>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</si>
  <si>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</si>
  <si>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</si>
  <si>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</si>
  <si>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</si>
  <si>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</si>
  <si>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</si>
  <si>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</si>
  <si>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</si>
  <si>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</si>
  <si>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</si>
  <si>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</si>
  <si>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</si>
  <si>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</si>
  <si>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</si>
  <si>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</si>
  <si>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</si>
  <si>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</si>
  <si>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</si>
  <si>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</si>
  <si>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</si>
  <si>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</si>
  <si>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</si>
  <si>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</si>
  <si>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</si>
  <si>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</si>
  <si>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</si>
  <si>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</si>
  <si>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</si>
  <si>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</si>
  <si>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</si>
  <si>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</si>
  <si>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</si>
  <si>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</si>
  <si>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</si>
  <si>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</si>
  <si>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</si>
  <si>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</si>
  <si>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</si>
  <si>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</si>
  <si>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</si>
  <si>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</si>
  <si>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</si>
  <si>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</si>
  <si>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</si>
  <si>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</si>
  <si>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</si>
  <si>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</si>
  <si>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</si>
  <si>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</si>
  <si>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</si>
  <si>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</si>
  <si>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</si>
  <si>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</si>
  <si>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</si>
  <si>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</si>
  <si>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</si>
  <si>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</si>
  <si>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</si>
  <si>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</si>
  <si>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</si>
  <si>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</si>
  <si>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</si>
  <si>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</si>
  <si>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</si>
  <si>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</si>
  <si>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</si>
  <si>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</si>
  <si>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</si>
  <si>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</si>
  <si>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</si>
  <si>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</si>
  <si>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</si>
  <si>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</si>
  <si>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</si>
  <si>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</si>
  <si>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</si>
  <si>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</si>
  <si>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</si>
  <si>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</si>
  <si>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</si>
  <si>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</si>
  <si>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</si>
  <si>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</si>
  <si>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</si>
  <si>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</si>
  <si>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</si>
  <si>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</si>
  <si>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</si>
  <si>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</si>
  <si>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</si>
  <si>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</si>
  <si>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</si>
  <si>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</si>
  <si>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</si>
  <si>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</si>
  <si>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</si>
  <si>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</si>
  <si>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</si>
  <si>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</si>
  <si>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</si>
  <si>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</si>
  <si>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</si>
  <si>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</si>
  <si>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</si>
  <si>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</si>
  <si>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</si>
  <si>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</si>
  <si>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</si>
  <si>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</si>
  <si>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</si>
  <si>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</si>
  <si>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</si>
  <si>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</si>
  <si>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</si>
  <si>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</si>
  <si>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</si>
  <si>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</si>
  <si>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</si>
  <si>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</si>
  <si>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</si>
  <si>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</si>
  <si>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</si>
  <si>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</si>
  <si>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</si>
  <si>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</si>
  <si>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</si>
  <si>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</si>
  <si>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</si>
  <si>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</si>
  <si>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</si>
  <si>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</si>
  <si>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</si>
  <si>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</si>
  <si>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</si>
  <si>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</si>
  <si>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</si>
  <si>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</si>
  <si>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</si>
  <si>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</si>
  <si>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</si>
  <si>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</si>
  <si>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</si>
  <si>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</si>
  <si>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</si>
  <si>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</si>
  <si>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</si>
  <si>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</si>
  <si>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</si>
  <si>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</si>
  <si>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</si>
  <si>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</si>
  <si>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</si>
  <si>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</si>
  <si>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</si>
  <si>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</si>
  <si>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</si>
  <si>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</si>
  <si>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</si>
  <si>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</si>
  <si>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</si>
  <si>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</si>
  <si>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</si>
  <si>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</si>
  <si>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</si>
  <si>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</si>
  <si>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</si>
  <si>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</si>
  <si>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</si>
  <si>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</si>
  <si>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</si>
  <si>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</si>
  <si>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</si>
  <si>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</si>
  <si>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</si>
  <si>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</si>
  <si>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</si>
  <si>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</si>
  <si>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</si>
  <si>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</si>
  <si>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</si>
  <si>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</si>
  <si>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</si>
  <si>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</si>
  <si>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</si>
  <si>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</si>
  <si>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</si>
  <si>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</si>
  <si>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</si>
  <si>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</si>
  <si>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</si>
  <si>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</si>
  <si>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</si>
  <si>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</si>
  <si>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</si>
  <si>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</si>
  <si>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</si>
  <si>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</si>
  <si>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</si>
  <si>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</si>
  <si>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</si>
  <si>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</si>
  <si>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</si>
  <si>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</si>
  <si>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</si>
  <si>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</si>
  <si>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</si>
  <si>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</si>
  <si>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</si>
  <si>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</si>
  <si>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</si>
  <si>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</si>
  <si>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</si>
  <si>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</si>
  <si>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</si>
  <si>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</si>
  <si>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</si>
  <si>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</si>
  <si>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</si>
  <si>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</si>
  <si>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</si>
  <si>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</si>
  <si>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</si>
  <si>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</si>
  <si>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</si>
  <si>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</si>
  <si>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</si>
  <si>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</si>
  <si>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</si>
  <si>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</si>
  <si>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</si>
  <si>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</si>
  <si>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</si>
  <si>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</si>
  <si>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</si>
  <si>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</si>
  <si>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</si>
  <si>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</si>
  <si>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</si>
  <si>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</si>
  <si>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</si>
  <si>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</si>
  <si>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</si>
  <si>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</si>
  <si>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</si>
  <si>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</si>
  <si>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</si>
  <si>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</si>
  <si>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</si>
  <si>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</si>
  <si>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</si>
  <si>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</si>
  <si>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</si>
  <si>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</si>
  <si>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</si>
  <si>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</si>
  <si>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</si>
  <si>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</si>
  <si>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</si>
  <si>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</si>
  <si>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</si>
  <si>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</si>
  <si>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</si>
  <si>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</si>
  <si>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</si>
  <si>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</si>
  <si>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</si>
  <si>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</si>
  <si>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</si>
  <si>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</si>
  <si>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</si>
  <si>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</si>
  <si>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</si>
  <si>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</si>
  <si>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</si>
  <si>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</si>
  <si>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</si>
  <si>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</si>
  <si>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</si>
  <si>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</si>
  <si>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</si>
  <si>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</si>
  <si>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</si>
  <si>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</si>
  <si>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</si>
  <si>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</si>
  <si>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</si>
  <si>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</si>
  <si>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</si>
  <si>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</si>
  <si>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</si>
  <si>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</si>
  <si>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</si>
  <si>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</si>
  <si>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</si>
  <si>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</si>
  <si>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</si>
  <si>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</si>
  <si>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</si>
  <si>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</si>
  <si>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</si>
  <si>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</si>
  <si>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</si>
  <si>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</si>
  <si>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</si>
  <si>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</si>
  <si>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</si>
  <si>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</si>
  <si>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</si>
  <si>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</si>
  <si>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</si>
  <si>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</si>
  <si>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</si>
  <si>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</si>
  <si>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</si>
  <si>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</si>
  <si>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</si>
  <si>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</si>
  <si>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</si>
  <si>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</si>
  <si>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</si>
  <si>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</si>
  <si>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</si>
  <si>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</si>
  <si>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</si>
  <si>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</si>
  <si>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</si>
  <si>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</si>
  <si>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</si>
  <si>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</si>
  <si>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</si>
  <si>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</si>
  <si>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</si>
  <si>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</si>
  <si>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</si>
  <si>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</si>
  <si>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</si>
  <si>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</si>
  <si>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</si>
  <si>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</si>
  <si>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</si>
  <si>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</si>
  <si>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</si>
  <si>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</si>
  <si>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</si>
  <si>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</si>
  <si>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</si>
  <si>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</si>
  <si>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</si>
  <si>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</si>
  <si>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</si>
  <si>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</si>
  <si>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</si>
  <si>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</si>
  <si>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</si>
  <si>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</si>
  <si>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</si>
  <si>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</si>
  <si>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</si>
  <si>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</si>
  <si>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</si>
  <si>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</si>
  <si>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</si>
  <si>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</si>
  <si>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</si>
  <si>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</si>
  <si>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</si>
  <si>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</si>
  <si>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</si>
  <si>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</si>
  <si>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</si>
  <si>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</si>
  <si>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</si>
  <si>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</si>
  <si>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</si>
  <si>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</si>
  <si>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</si>
  <si>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</si>
  <si>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</si>
  <si>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</si>
  <si>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</si>
  <si>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</si>
  <si>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</si>
  <si>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</si>
  <si>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</si>
  <si>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</si>
  <si>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</si>
  <si>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</si>
  <si>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</si>
  <si>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</si>
  <si>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</si>
  <si>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</si>
  <si>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</si>
  <si>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</si>
  <si>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</si>
  <si>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</si>
  <si>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</si>
  <si>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</si>
  <si>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</si>
  <si>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</si>
  <si>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</si>
  <si>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</si>
  <si>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</si>
  <si>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</si>
  <si>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</si>
  <si>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</si>
  <si>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</si>
  <si>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</si>
  <si>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</si>
  <si>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</si>
  <si>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</si>
  <si>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</si>
  <si>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</si>
  <si>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</si>
  <si>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</si>
  <si>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</si>
  <si>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</si>
  <si>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</si>
  <si>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</si>
  <si>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</si>
  <si>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</si>
  <si>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</si>
  <si>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</si>
  <si>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</si>
  <si>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</si>
  <si>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</si>
  <si>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</si>
  <si>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</si>
  <si>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</si>
  <si>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</si>
  <si>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</si>
  <si>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</si>
  <si>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</si>
  <si>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</si>
  <si>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</si>
  <si>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</si>
  <si>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</si>
  <si>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</si>
  <si>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</si>
  <si>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</si>
  <si>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</si>
  <si>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</si>
  <si>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</si>
  <si>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</si>
  <si>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</si>
  <si>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</si>
  <si>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</si>
  <si>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</si>
  <si>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</si>
  <si>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</si>
  <si>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</si>
  <si>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</si>
  <si>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</si>
  <si>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</si>
  <si>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</si>
  <si>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</si>
  <si>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</si>
  <si>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</si>
  <si>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</si>
  <si>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</si>
  <si>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</si>
  <si>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</si>
  <si>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</si>
  <si>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</si>
  <si>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</si>
  <si>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</si>
  <si>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</si>
  <si>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</si>
  <si>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</si>
  <si>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</si>
  <si>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</si>
  <si>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</si>
  <si>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</si>
  <si>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</si>
  <si>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</si>
  <si>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</si>
  <si>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</si>
  <si>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</si>
  <si>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</si>
  <si>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</si>
  <si>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</si>
  <si>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</si>
  <si>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</si>
  <si>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</si>
  <si>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</si>
  <si>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</si>
  <si>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</si>
  <si>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</si>
  <si>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</si>
  <si>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</si>
  <si>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</si>
  <si>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</si>
  <si>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</si>
  <si>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</si>
  <si>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</si>
  <si>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</si>
  <si>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</si>
  <si>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</si>
  <si>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</si>
  <si>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</si>
  <si>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</si>
  <si>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</si>
  <si>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</si>
  <si>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</si>
  <si>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</si>
  <si>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</si>
  <si>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</si>
  <si>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</si>
  <si>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</si>
  <si>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</si>
  <si>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</si>
  <si>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</si>
  <si>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</si>
  <si>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</si>
  <si>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</si>
  <si>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</si>
  <si>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</si>
  <si>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</si>
  <si>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</si>
  <si>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</si>
  <si>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</si>
  <si>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</si>
  <si>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</si>
  <si>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</si>
  <si>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</si>
  <si>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</si>
  <si>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</si>
  <si>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</si>
  <si>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</si>
  <si>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</si>
  <si>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</si>
  <si>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</si>
  <si>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</si>
  <si>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</si>
  <si>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</si>
  <si>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</si>
  <si>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</si>
  <si>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</si>
  <si>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</si>
  <si>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</si>
  <si>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</si>
  <si>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</si>
  <si>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</si>
  <si>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</si>
  <si>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</si>
  <si>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</si>
  <si>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</si>
  <si>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</si>
  <si>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</si>
  <si>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</si>
  <si>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</si>
  <si>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</si>
  <si>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</si>
  <si>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</si>
  <si>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</si>
  <si>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</si>
  <si>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</si>
  <si>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</si>
  <si>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</si>
  <si>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</si>
  <si>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</si>
  <si>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</si>
  <si>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</si>
  <si>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</si>
  <si>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</si>
  <si>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</si>
  <si>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</si>
  <si>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</si>
  <si>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</si>
  <si>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</si>
  <si>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</si>
  <si>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</si>
  <si>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</si>
  <si>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</si>
  <si>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</si>
  <si>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</si>
  <si>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</si>
  <si>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</si>
  <si>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</si>
  <si>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</si>
  <si>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</si>
  <si>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</si>
  <si>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</si>
  <si>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</si>
  <si>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</si>
  <si>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</si>
  <si>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</si>
  <si>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</si>
  <si>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</si>
  <si>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</si>
  <si>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</si>
  <si>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</si>
  <si>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</si>
  <si>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</si>
  <si>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</si>
  <si>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</si>
  <si>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</si>
  <si>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</si>
  <si>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</si>
  <si>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</si>
  <si>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</si>
  <si>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</si>
  <si>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</si>
  <si>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</si>
  <si>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</si>
  <si>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</si>
  <si>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</si>
  <si>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</si>
  <si>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</si>
  <si>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</si>
  <si>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</si>
  <si>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</si>
  <si>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</si>
  <si>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</si>
  <si>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</si>
  <si>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</si>
  <si>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</si>
  <si>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</si>
  <si>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</si>
  <si>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</si>
  <si>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</si>
  <si>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</si>
  <si>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</si>
  <si>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</si>
  <si>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</si>
  <si>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</si>
  <si>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</si>
  <si>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</si>
  <si>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</si>
  <si>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</si>
  <si>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</si>
  <si>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</si>
  <si>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</si>
  <si>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</si>
  <si>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</si>
  <si>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</si>
  <si>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</si>
  <si>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</si>
  <si>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</si>
  <si>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</si>
  <si>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</si>
  <si>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</si>
  <si>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</si>
  <si>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</si>
  <si>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</si>
  <si>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</si>
  <si>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</si>
  <si>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</si>
  <si>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</si>
  <si>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</si>
  <si>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</si>
  <si>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</si>
  <si>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</si>
  <si>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</si>
  <si>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</si>
  <si>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</si>
  <si>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</si>
  <si>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</si>
  <si>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</si>
  <si>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</si>
  <si>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</si>
  <si>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</si>
  <si>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</si>
  <si>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</si>
  <si>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</si>
  <si>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</si>
  <si>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</si>
  <si>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</si>
  <si>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</si>
  <si>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</si>
  <si>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</si>
  <si>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</si>
  <si>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</si>
  <si>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</si>
  <si>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</si>
  <si>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</si>
  <si>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</si>
  <si>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</si>
  <si>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</si>
  <si>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</si>
  <si>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</si>
  <si>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</si>
  <si>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</si>
  <si>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</si>
  <si>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</si>
  <si>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</si>
  <si>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</si>
  <si>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</si>
  <si>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</si>
  <si>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</si>
  <si>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</si>
  <si>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</si>
  <si>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</si>
  <si>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</si>
  <si>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</si>
  <si>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</si>
  <si>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</si>
  <si>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</si>
  <si>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</si>
  <si>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</si>
  <si>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</si>
  <si>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</si>
  <si>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</si>
  <si>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</si>
  <si>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</si>
  <si>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</si>
  <si>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</si>
  <si>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</si>
  <si>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</si>
  <si>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</si>
  <si>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</si>
  <si>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</si>
  <si>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</si>
  <si>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</si>
  <si>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</si>
  <si>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</si>
  <si>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</si>
  <si>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</si>
  <si>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</si>
  <si>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</si>
  <si>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</si>
  <si>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</si>
  <si>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</si>
  <si>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</si>
  <si>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</si>
  <si>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</si>
  <si>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</si>
  <si>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</si>
  <si>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</si>
  <si>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</si>
  <si>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</si>
  <si>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</si>
  <si>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</si>
  <si>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</si>
  <si>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</si>
  <si>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</si>
  <si>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</si>
  <si>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</si>
  <si>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</si>
  <si>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</si>
  <si>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</si>
  <si>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</si>
  <si>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</si>
  <si>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</si>
  <si>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</si>
  <si>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</si>
  <si>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</si>
  <si>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</si>
  <si>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</si>
  <si>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</si>
  <si>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</si>
  <si>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</si>
  <si>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</si>
  <si>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</si>
  <si>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</si>
  <si>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</si>
  <si>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</si>
  <si>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</si>
  <si>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</si>
  <si>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</si>
  <si>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</si>
  <si>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</si>
  <si>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</si>
  <si>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</si>
  <si>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</si>
  <si>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</si>
  <si>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</si>
  <si>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</si>
  <si>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</si>
  <si>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</si>
  <si>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</si>
  <si>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</si>
  <si>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</si>
  <si>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</si>
  <si>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</si>
  <si>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</si>
  <si>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</si>
  <si>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</si>
  <si>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</si>
  <si>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</si>
  <si>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</si>
  <si>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</si>
  <si>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</si>
  <si>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</si>
  <si>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</si>
  <si>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</si>
  <si>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</si>
  <si>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</si>
  <si>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</si>
  <si>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</si>
  <si>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</si>
  <si>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</si>
  <si>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</si>
  <si>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</si>
  <si>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</si>
  <si>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</si>
  <si>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</si>
  <si>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</si>
  <si>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</si>
  <si>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</si>
  <si>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</si>
  <si>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</si>
  <si>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</si>
  <si>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</si>
  <si>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</si>
  <si>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</si>
  <si>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</si>
  <si>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</si>
  <si>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</si>
  <si>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</si>
  <si>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</si>
  <si>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</si>
  <si>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</si>
  <si>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</si>
  <si>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</si>
  <si>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</si>
  <si>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</si>
  <si>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</si>
  <si>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</si>
  <si>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</si>
  <si>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</si>
  <si>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</si>
  <si>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</si>
  <si>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</si>
  <si>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</si>
  <si>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</si>
  <si>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</si>
  <si>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</si>
  <si>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</si>
  <si>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</si>
  <si>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</si>
  <si>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</si>
  <si>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</si>
  <si>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</si>
  <si>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</si>
  <si>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</si>
  <si>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</si>
  <si>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</si>
  <si>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</si>
  <si>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</si>
  <si>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</si>
  <si>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</si>
  <si>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</si>
  <si>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</si>
  <si>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</si>
  <si>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</si>
  <si>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</si>
  <si>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</si>
  <si>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</si>
  <si>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</si>
  <si>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</si>
  <si>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</si>
  <si>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</si>
  <si>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</si>
  <si>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</si>
  <si>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</si>
  <si>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</si>
  <si>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</si>
  <si>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</si>
  <si>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</si>
  <si>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</si>
  <si>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</si>
  <si>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</si>
  <si>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</si>
  <si>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</si>
  <si>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</si>
  <si>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</si>
  <si>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</si>
  <si>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</si>
  <si>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</si>
  <si>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</si>
  <si>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</si>
  <si>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</si>
  <si>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</si>
  <si>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</si>
  <si>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</si>
  <si>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</si>
  <si>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</si>
  <si>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</si>
  <si>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</si>
  <si>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</si>
  <si>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</si>
  <si>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</si>
  <si>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</si>
  <si>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</si>
  <si>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</si>
  <si>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</si>
  <si>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</si>
  <si>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</si>
  <si>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</si>
  <si>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</si>
  <si>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</si>
  <si>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</si>
  <si>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</si>
  <si>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</si>
  <si>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</si>
  <si>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</si>
  <si>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</si>
  <si>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</si>
  <si>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</si>
  <si>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</si>
  <si>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</si>
  <si>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</si>
  <si>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</si>
  <si>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</si>
  <si>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</si>
  <si>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</si>
  <si>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</si>
  <si>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</si>
  <si>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</si>
  <si>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</si>
  <si>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</si>
  <si>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</si>
  <si>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</si>
  <si>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</si>
  <si>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</si>
  <si>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</si>
  <si>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</si>
  <si>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</si>
  <si>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</si>
  <si>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</si>
  <si>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</si>
  <si>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</si>
  <si>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</si>
  <si>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</si>
  <si>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</si>
  <si>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</si>
  <si>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</si>
  <si>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</si>
  <si>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</si>
  <si>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</si>
  <si>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</si>
  <si>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</si>
  <si>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</si>
  <si>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</si>
  <si>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</si>
  <si>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</si>
  <si>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</si>
  <si>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</si>
  <si>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</si>
  <si>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</si>
  <si>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</si>
  <si>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</si>
  <si>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</si>
  <si>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</si>
  <si>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</si>
  <si>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</si>
  <si>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</si>
  <si>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</si>
  <si>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</si>
  <si>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</si>
  <si>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</si>
  <si>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</si>
  <si>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</si>
  <si>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</si>
  <si>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</si>
  <si>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</si>
  <si>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</si>
  <si>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</si>
  <si>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</si>
  <si>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</si>
  <si>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</si>
  <si>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</si>
  <si>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</si>
  <si>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</si>
  <si>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</si>
  <si>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</si>
  <si>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</si>
  <si>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</si>
  <si>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</si>
  <si>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</si>
  <si>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</si>
  <si>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</si>
  <si>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</si>
  <si>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</si>
  <si>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</si>
  <si>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</si>
  <si>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</si>
  <si>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</si>
  <si>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</si>
  <si>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</si>
  <si>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</si>
  <si>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</si>
  <si>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</si>
  <si>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</si>
  <si>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</si>
  <si>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</si>
  <si>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</si>
  <si>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</si>
  <si>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</si>
  <si>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</si>
  <si>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</si>
  <si>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</si>
  <si>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</si>
  <si>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</si>
  <si>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</si>
  <si>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</si>
  <si>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</si>
  <si>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</si>
  <si>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</si>
  <si>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</si>
  <si>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</si>
  <si>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</si>
  <si>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</si>
  <si>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</si>
  <si>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</si>
  <si>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</si>
  <si>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</si>
  <si>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</si>
  <si>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</si>
  <si>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</si>
  <si>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</si>
  <si>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</si>
  <si>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</si>
  <si>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</si>
  <si>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</si>
  <si>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</si>
  <si>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</si>
  <si>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</si>
  <si>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</si>
  <si>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</si>
  <si>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</si>
  <si>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</si>
  <si>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</si>
  <si>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</si>
  <si>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</si>
  <si>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</si>
  <si>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</si>
  <si>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</si>
  <si>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</si>
  <si>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</si>
  <si>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</si>
  <si>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</si>
  <si>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</si>
  <si>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</si>
  <si>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</si>
  <si>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</si>
  <si>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</si>
  <si>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</si>
  <si>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</si>
  <si>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</si>
  <si>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</si>
  <si>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</si>
  <si>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</si>
  <si>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</si>
  <si>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</si>
  <si>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</si>
  <si>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</si>
  <si>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</si>
  <si>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</si>
  <si>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</si>
  <si>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</si>
  <si>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</si>
  <si>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</si>
  <si>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</si>
  <si>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</si>
  <si>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</si>
  <si>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</si>
  <si>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</si>
  <si>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</si>
  <si>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</si>
  <si>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</si>
  <si>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</si>
  <si>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</si>
  <si>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</si>
  <si>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</si>
  <si>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</si>
  <si>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</si>
  <si>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</si>
  <si>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</si>
  <si>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</si>
  <si>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</si>
  <si>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</si>
  <si>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</si>
  <si>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</si>
  <si>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</si>
  <si>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</si>
  <si>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</si>
  <si>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</si>
  <si>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</si>
  <si>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</si>
  <si>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</si>
  <si>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</si>
  <si>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</si>
  <si>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</si>
  <si>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</si>
  <si>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</si>
  <si>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</si>
  <si>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</si>
  <si>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</si>
  <si>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</si>
  <si>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</si>
  <si>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</si>
  <si>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</si>
  <si>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</si>
  <si>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</si>
  <si>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</si>
  <si>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</si>
  <si>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</si>
  <si>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</si>
  <si>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</si>
  <si>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</si>
  <si>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</si>
  <si>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</si>
  <si>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</si>
  <si>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</si>
  <si>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</si>
  <si>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</si>
  <si>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</si>
  <si>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</si>
  <si>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</si>
  <si>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</si>
  <si>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</si>
  <si>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</si>
  <si>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</si>
  <si>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</si>
  <si>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</si>
  <si>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</si>
  <si>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</si>
  <si>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</si>
  <si>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</si>
  <si>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</si>
  <si>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</si>
  <si>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</si>
  <si>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</si>
  <si>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</si>
  <si>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</si>
  <si>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</si>
  <si>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</si>
  <si>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</si>
  <si>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</si>
  <si>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</si>
  <si>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</si>
  <si>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</si>
  <si>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</si>
  <si>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</si>
  <si>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</si>
  <si>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</si>
  <si>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</si>
  <si>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</si>
  <si>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</si>
  <si>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</si>
  <si>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</si>
  <si>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</si>
  <si>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</si>
  <si>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</si>
  <si>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</si>
  <si>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</si>
  <si>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</si>
  <si>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</si>
  <si>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</si>
  <si>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</si>
  <si>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</si>
  <si>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</si>
  <si>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</si>
  <si>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</si>
  <si>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</si>
  <si>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</si>
  <si>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</si>
  <si>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</si>
  <si>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</si>
  <si>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</si>
  <si>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</si>
  <si>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</si>
  <si>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</si>
  <si>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</si>
  <si>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</si>
  <si>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</si>
  <si>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</si>
  <si>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</si>
  <si>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</si>
  <si>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</si>
  <si>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</si>
  <si>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</si>
  <si>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</si>
  <si>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</si>
  <si>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</si>
  <si>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</si>
  <si>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</si>
  <si>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</si>
  <si>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</si>
  <si>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</si>
  <si>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</si>
  <si>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</si>
  <si>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</si>
  <si>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</si>
  <si>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</si>
  <si>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</si>
  <si>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</si>
  <si>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</si>
  <si>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</si>
  <si>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</si>
  <si>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</si>
  <si>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</si>
  <si>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</si>
  <si>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</si>
  <si>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</si>
  <si>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</si>
  <si>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</si>
  <si>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</si>
  <si>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</si>
  <si>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</si>
  <si>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</si>
  <si>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</si>
  <si>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</si>
  <si>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</si>
  <si>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</si>
  <si>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</si>
  <si>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</si>
  <si>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</si>
  <si>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</si>
  <si>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</si>
  <si>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</si>
  <si>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</si>
  <si>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</si>
  <si>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</si>
  <si>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</si>
  <si>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</si>
  <si>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</si>
  <si>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</si>
  <si>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</si>
  <si>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</si>
  <si>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</si>
  <si>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</si>
  <si>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</si>
  <si>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</si>
  <si>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</si>
  <si>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</si>
  <si>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</si>
  <si>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</si>
  <si>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</si>
  <si>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</si>
  <si>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</si>
  <si>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</si>
  <si>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</si>
  <si>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</si>
  <si>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</si>
  <si>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</si>
  <si>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</si>
  <si>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</si>
  <si>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</si>
  <si>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</si>
  <si>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</si>
  <si>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</si>
  <si>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</si>
  <si>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</si>
  <si>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</si>
  <si>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</si>
  <si>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</si>
  <si>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</si>
  <si>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</si>
  <si>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</si>
  <si>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</si>
  <si>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</si>
  <si>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</si>
  <si>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</si>
  <si>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</si>
  <si>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</si>
  <si>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</si>
  <si>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</si>
  <si>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</si>
  <si>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</si>
  <si>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</si>
  <si>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</si>
  <si>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</si>
  <si>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</si>
  <si>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</si>
  <si>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</si>
  <si>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</si>
  <si>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</si>
  <si>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</si>
  <si>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</si>
  <si>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</si>
  <si>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</si>
  <si>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</si>
  <si>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</si>
  <si>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</si>
  <si>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</si>
  <si>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</si>
  <si>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</si>
  <si>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</si>
  <si>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</si>
  <si>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</si>
  <si>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</si>
  <si>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</si>
  <si>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</si>
  <si>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</si>
  <si>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</si>
  <si>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</si>
  <si>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</si>
  <si>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</si>
  <si>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</si>
  <si>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</si>
  <si>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</si>
  <si>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</si>
  <si>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</si>
  <si>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</si>
  <si>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</si>
  <si>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</si>
  <si>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</si>
  <si>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</si>
  <si>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</si>
  <si>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</si>
  <si>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</si>
  <si>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</si>
  <si>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</si>
  <si>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</si>
  <si>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</si>
  <si>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</si>
  <si>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</si>
  <si>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</si>
  <si>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</si>
  <si>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</si>
  <si>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</si>
  <si>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</si>
  <si>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</si>
  <si>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</si>
  <si>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</si>
  <si>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</si>
  <si>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</si>
  <si>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</si>
  <si>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</si>
  <si>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</si>
  <si>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</si>
  <si>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</si>
  <si>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</si>
  <si>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</si>
  <si>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</si>
  <si>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</si>
  <si>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</si>
  <si>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</si>
  <si>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</si>
  <si>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</si>
  <si>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</si>
  <si>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</si>
  <si>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</si>
  <si>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</si>
  <si>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</si>
  <si>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</si>
  <si>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</si>
  <si>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</si>
  <si>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</si>
  <si>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</si>
  <si>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</si>
  <si>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</si>
  <si>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</si>
  <si>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</si>
  <si>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</si>
  <si>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</si>
  <si>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</si>
  <si>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</si>
  <si>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</si>
  <si>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</si>
  <si>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</si>
  <si>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</si>
  <si>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</si>
  <si>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</si>
  <si>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</si>
  <si>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</si>
  <si>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</si>
  <si>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</si>
  <si>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</si>
  <si>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</si>
  <si>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</si>
  <si>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</si>
  <si>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</si>
  <si>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</si>
  <si>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</si>
  <si>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</si>
  <si>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</si>
  <si>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</si>
  <si>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</si>
  <si>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</si>
  <si>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</si>
  <si>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</si>
  <si>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</si>
  <si>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</si>
  <si>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</si>
  <si>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</si>
  <si>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</si>
  <si>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</si>
  <si>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</si>
  <si>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</si>
  <si>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</si>
  <si>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</si>
  <si>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</si>
  <si>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</si>
  <si>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</si>
  <si>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</si>
  <si>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</si>
  <si>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</si>
  <si>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</si>
  <si>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</si>
  <si>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</si>
  <si>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</si>
  <si>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</si>
  <si>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</si>
  <si>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</si>
  <si>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</si>
  <si>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</si>
  <si>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</si>
  <si>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</si>
  <si>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</si>
  <si>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</si>
  <si>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</si>
  <si>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</si>
  <si>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</si>
  <si>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</si>
  <si>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</si>
  <si>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</si>
  <si>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</si>
  <si>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</si>
  <si>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</si>
  <si>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</si>
  <si>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</si>
  <si>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</si>
  <si>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</si>
  <si>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</si>
  <si>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</si>
  <si>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</si>
  <si>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</si>
  <si>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</si>
  <si>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</si>
  <si>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</si>
  <si>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</si>
  <si>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</si>
  <si>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</si>
  <si>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</si>
  <si>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</si>
  <si>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</si>
  <si>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</si>
  <si>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</si>
  <si>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</si>
  <si>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</si>
  <si>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</si>
  <si>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</si>
  <si>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</si>
  <si>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</si>
  <si>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</si>
  <si>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</si>
  <si>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</si>
  <si>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</si>
  <si>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</si>
  <si>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</si>
  <si>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</si>
  <si>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</si>
  <si>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</si>
  <si>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</si>
  <si>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</si>
  <si>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</si>
  <si>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</si>
  <si>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</si>
  <si>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</si>
  <si>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</si>
  <si>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</si>
  <si>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</si>
  <si>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</si>
  <si>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</si>
  <si>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</si>
  <si>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</si>
  <si>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</si>
  <si>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</si>
  <si>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</si>
  <si>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</si>
  <si>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</si>
  <si>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</si>
  <si>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</si>
  <si>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</si>
  <si>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</si>
  <si>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</si>
  <si>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</si>
  <si>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</si>
  <si>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</si>
  <si>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</si>
  <si>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</si>
  <si>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</si>
  <si>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</si>
  <si>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</si>
  <si>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</si>
  <si>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</si>
  <si>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</si>
  <si>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</si>
  <si>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</si>
  <si>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</si>
  <si>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</si>
  <si>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</si>
  <si>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</si>
  <si>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</si>
  <si>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</si>
  <si>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</si>
  <si>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</si>
  <si>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</si>
  <si>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</si>
  <si>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</si>
  <si>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</si>
  <si>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</si>
  <si>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</si>
  <si>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</si>
  <si>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</si>
  <si>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</si>
  <si>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</si>
  <si>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</si>
  <si>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</si>
  <si>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</si>
  <si>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</si>
  <si>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</si>
  <si>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</si>
  <si>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</si>
  <si>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</si>
  <si>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</si>
  <si>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</si>
  <si>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</si>
  <si>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</si>
  <si>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</si>
  <si>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</si>
  <si>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</si>
  <si>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</si>
  <si>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</si>
  <si>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</si>
  <si>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</si>
  <si>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</si>
  <si>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</si>
  <si>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</si>
  <si>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</si>
  <si>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</si>
  <si>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</si>
  <si>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</si>
  <si>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</si>
  <si>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</si>
  <si>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</si>
  <si>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</si>
  <si>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</si>
  <si>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</si>
  <si>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</si>
  <si>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</si>
  <si>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</si>
  <si>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</si>
  <si>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</si>
  <si>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</si>
  <si>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</si>
  <si>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</si>
  <si>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</si>
  <si>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</si>
  <si>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</si>
  <si>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</si>
  <si>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</si>
  <si>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</si>
  <si>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</si>
  <si>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</si>
  <si>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</si>
  <si>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</si>
  <si>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</si>
  <si>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</si>
  <si>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</si>
  <si>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</si>
  <si>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</si>
  <si>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</si>
  <si>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</si>
  <si>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</si>
  <si>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</si>
  <si>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</si>
  <si>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</si>
  <si>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</si>
  <si>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</si>
  <si>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</si>
  <si>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</si>
  <si>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</si>
  <si>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</si>
  <si>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</si>
  <si>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</si>
  <si>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</si>
  <si>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</si>
  <si>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</si>
  <si>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</si>
  <si>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</si>
  <si>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</si>
  <si>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</si>
  <si>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</si>
  <si>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</si>
  <si>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</si>
  <si>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</si>
  <si>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</si>
  <si>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</si>
  <si>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</si>
  <si>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</si>
  <si>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</si>
  <si>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</si>
  <si>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</si>
  <si>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</si>
  <si>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</si>
  <si>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</si>
  <si>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</si>
  <si>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</si>
  <si>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</si>
  <si>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</si>
  <si>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</si>
  <si>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</si>
  <si>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</si>
  <si>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</si>
  <si>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</si>
  <si>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</si>
  <si>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</si>
  <si>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</si>
  <si>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</si>
  <si>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</si>
  <si>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</si>
  <si>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</si>
  <si>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</si>
  <si>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</si>
  <si>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</si>
  <si>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</si>
  <si>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</si>
  <si>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</si>
  <si>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</si>
  <si>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</si>
  <si>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</si>
  <si>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</si>
  <si>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</si>
  <si>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</si>
  <si>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</si>
  <si>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</si>
  <si>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</si>
  <si>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</si>
  <si>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</si>
  <si>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</si>
  <si>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</si>
  <si>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</si>
  <si>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</si>
  <si>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</si>
  <si>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</si>
  <si>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</si>
  <si>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</si>
  <si>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</si>
  <si>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</si>
  <si>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</si>
  <si>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</si>
  <si>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</si>
  <si>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</si>
  <si>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</si>
  <si>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</si>
  <si>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</si>
  <si>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</si>
  <si>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</si>
  <si>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</si>
  <si>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</si>
  <si>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</si>
  <si>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</si>
  <si>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</si>
  <si>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</si>
  <si>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</si>
  <si>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</si>
  <si>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</si>
  <si>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</si>
  <si>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</si>
  <si>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</si>
  <si>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</si>
  <si>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</si>
  <si>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</si>
  <si>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</si>
  <si>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</si>
  <si>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</si>
  <si>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</si>
  <si>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</si>
  <si>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</si>
  <si>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</si>
  <si>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</si>
  <si>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</si>
  <si>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</si>
  <si>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</si>
  <si>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</si>
  <si>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</si>
  <si>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</si>
  <si>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</si>
  <si>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</si>
  <si>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</si>
  <si>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</si>
  <si>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</si>
  <si>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</si>
  <si>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</si>
  <si>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</si>
  <si>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</si>
  <si>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</si>
  <si>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</si>
  <si>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</si>
  <si>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</si>
  <si>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</si>
  <si>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</si>
  <si>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</si>
  <si>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</si>
  <si>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</si>
  <si>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</si>
  <si>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</si>
  <si>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</si>
  <si>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</si>
  <si>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</si>
  <si>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</si>
  <si>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</si>
  <si>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</si>
  <si>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</si>
  <si>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</si>
  <si>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</si>
  <si>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</si>
  <si>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</si>
  <si>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</si>
  <si>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</si>
  <si>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</si>
  <si>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</si>
  <si>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</si>
  <si>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</si>
  <si>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</si>
  <si>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</si>
  <si>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</si>
  <si>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</si>
  <si>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</si>
  <si>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</si>
  <si>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</si>
  <si>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</si>
  <si>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</si>
  <si>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</si>
  <si>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</si>
  <si>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</si>
  <si>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</si>
  <si>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</si>
  <si>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</si>
  <si>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</si>
  <si>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</si>
  <si>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</si>
  <si>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</si>
  <si>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</si>
  <si>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</si>
  <si>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</si>
  <si>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</si>
  <si>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</si>
  <si>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</si>
  <si>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</si>
  <si>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</si>
  <si>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</si>
  <si>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</si>
  <si>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</si>
  <si>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</si>
  <si>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</si>
  <si>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</si>
  <si>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</si>
  <si>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</si>
  <si>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</si>
  <si>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</si>
  <si>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</si>
  <si>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</si>
  <si>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</si>
  <si>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</si>
  <si>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</si>
  <si>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</si>
  <si>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</si>
  <si>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</si>
  <si>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</si>
  <si>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</si>
  <si>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</si>
  <si>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</si>
  <si>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</si>
  <si>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</si>
  <si>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</si>
  <si>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</si>
  <si>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</si>
  <si>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</si>
  <si>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</si>
  <si>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</si>
  <si>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</si>
  <si>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</si>
  <si>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</si>
  <si>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</si>
  <si>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</si>
  <si>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</si>
  <si>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</si>
  <si>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</si>
  <si>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</si>
  <si>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</si>
  <si>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</si>
  <si>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</si>
  <si>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</si>
  <si>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</si>
  <si>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</si>
  <si>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</si>
  <si>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</si>
  <si>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</si>
  <si>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</si>
  <si>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</si>
  <si>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</si>
  <si>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</si>
  <si>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</si>
  <si>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</si>
  <si>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</si>
  <si>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</si>
  <si>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</si>
  <si>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</si>
  <si>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</si>
  <si>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</si>
  <si>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</si>
  <si>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</si>
  <si>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</si>
  <si>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</si>
  <si>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</si>
  <si>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</si>
  <si>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</si>
  <si>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</si>
  <si>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</si>
  <si>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</si>
  <si>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</si>
  <si>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</si>
  <si>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</si>
  <si>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</si>
  <si>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</si>
  <si>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</si>
  <si>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</si>
  <si>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</si>
  <si>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</si>
  <si>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</si>
  <si>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</si>
  <si>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</si>
  <si>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</si>
  <si>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</si>
  <si>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</si>
  <si>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</si>
  <si>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</si>
  <si>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</si>
  <si>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</si>
  <si>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</si>
  <si>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</si>
  <si>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</si>
  <si>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</si>
  <si>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</si>
  <si>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</si>
  <si>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</si>
  <si>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</si>
  <si>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</si>
  <si>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</si>
  <si>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</si>
  <si>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</si>
  <si>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</si>
  <si>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</si>
  <si>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</si>
  <si>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</si>
  <si>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</si>
  <si>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</si>
  <si>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</si>
  <si>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</si>
  <si>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</si>
  <si>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</si>
  <si>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</si>
  <si>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</si>
  <si>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</si>
  <si>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</si>
  <si>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</si>
  <si>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</si>
  <si>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</si>
  <si>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</si>
  <si>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</si>
  <si>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</si>
  <si>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</si>
  <si>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</si>
  <si>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</si>
  <si>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</si>
  <si>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</si>
  <si>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</si>
  <si>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</si>
  <si>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</si>
  <si>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</si>
  <si>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</si>
  <si>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</si>
  <si>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</si>
  <si>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</si>
  <si>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</si>
  <si>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</si>
  <si>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</si>
  <si>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</si>
  <si>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</si>
  <si>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</si>
  <si>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</si>
  <si>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</si>
  <si>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</si>
  <si>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</si>
  <si>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</si>
  <si>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</si>
  <si>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</si>
  <si>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</si>
  <si>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</si>
  <si>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</si>
  <si>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</si>
  <si>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</si>
  <si>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</si>
  <si>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</si>
  <si>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</si>
  <si>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</si>
  <si>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</si>
  <si>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</si>
  <si>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</si>
  <si>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</si>
  <si>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</si>
  <si>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</si>
  <si>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</si>
  <si>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</si>
  <si>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</si>
  <si>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</si>
  <si>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</si>
  <si>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</si>
  <si>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</si>
  <si>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</si>
  <si>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</si>
  <si>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</si>
  <si>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</si>
  <si>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</si>
  <si>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</si>
  <si>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</si>
  <si>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</si>
  <si>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</si>
  <si>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</si>
  <si>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</si>
  <si>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</si>
  <si>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</si>
  <si>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</si>
  <si>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</si>
  <si>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</si>
  <si>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</si>
  <si>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</si>
  <si>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</si>
  <si>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</si>
  <si>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</si>
  <si>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</si>
  <si>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</si>
  <si>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</si>
  <si>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</si>
  <si>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</si>
  <si>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</si>
  <si>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</si>
  <si>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</si>
  <si>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</si>
  <si>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</si>
  <si>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</si>
  <si>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</si>
  <si>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</si>
  <si>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</si>
  <si>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</si>
  <si>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</si>
  <si>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</si>
  <si>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</si>
  <si>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</si>
  <si>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</si>
  <si>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</si>
  <si>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</si>
  <si>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</si>
  <si>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</si>
  <si>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</si>
  <si>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</si>
  <si>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</si>
  <si>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</si>
  <si>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</si>
  <si>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</si>
  <si>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</si>
  <si>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</si>
  <si>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</si>
  <si>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</si>
  <si>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</si>
  <si>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</si>
  <si>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</si>
  <si>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</si>
  <si>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</si>
  <si>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</si>
  <si>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</si>
  <si>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</si>
  <si>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</si>
  <si>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</si>
  <si>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</si>
  <si>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</si>
  <si>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</si>
  <si>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</si>
  <si>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</si>
  <si>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</si>
  <si>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</si>
  <si>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</si>
  <si>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</si>
  <si>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</si>
  <si>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</si>
  <si>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</si>
  <si>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</si>
  <si>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</si>
  <si>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</si>
  <si>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</si>
  <si>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</si>
  <si>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</si>
  <si>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</si>
  <si>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</si>
  <si>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</si>
  <si>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</si>
  <si>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</si>
  <si>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</si>
  <si>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</si>
  <si>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</si>
  <si>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</si>
  <si>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</si>
  <si>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</si>
  <si>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</si>
  <si>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</si>
  <si>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</si>
  <si>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</si>
  <si>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</si>
  <si>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</si>
  <si>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</si>
  <si>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</si>
  <si>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</si>
  <si>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</si>
  <si>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</si>
  <si>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</si>
  <si>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</si>
  <si>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</si>
  <si>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</si>
  <si>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</si>
  <si>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</si>
  <si>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</si>
  <si>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</si>
  <si>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</si>
  <si>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</si>
  <si>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</si>
  <si>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</si>
  <si>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</si>
  <si>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</si>
  <si>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</si>
  <si>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</si>
  <si>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</si>
  <si>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</si>
  <si>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</si>
  <si>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</si>
  <si>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</si>
  <si>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</si>
  <si>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</si>
  <si>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</si>
  <si>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</si>
  <si>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</si>
  <si>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</si>
  <si>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</si>
  <si>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</si>
  <si>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</si>
  <si>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</si>
  <si>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</si>
  <si>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</si>
  <si>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</si>
  <si>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</si>
  <si>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</si>
  <si>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</si>
  <si>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</si>
  <si>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</si>
  <si>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</si>
  <si>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</si>
  <si>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</si>
  <si>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</si>
  <si>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</si>
  <si>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</si>
  <si>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</si>
  <si>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</si>
  <si>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</si>
  <si>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</si>
  <si>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</si>
  <si>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</si>
  <si>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</si>
  <si>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</si>
  <si>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</si>
  <si>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</si>
  <si>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</si>
  <si>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</si>
  <si>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</si>
  <si>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</si>
  <si>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</si>
  <si>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</si>
  <si>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</si>
  <si>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</si>
  <si>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</si>
  <si>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</si>
  <si>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</si>
  <si>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</si>
  <si>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</si>
  <si>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</si>
  <si>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</si>
  <si>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</si>
  <si>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</si>
  <si>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</si>
  <si>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</si>
  <si>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</si>
  <si>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</si>
  <si>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</si>
  <si>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</si>
  <si>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</si>
  <si>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</si>
  <si>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</si>
  <si>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</si>
  <si>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</si>
  <si>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</si>
  <si>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</si>
  <si>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</si>
  <si>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</si>
  <si>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</si>
  <si>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</si>
  <si>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</si>
  <si>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</si>
  <si>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</si>
  <si>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</si>
  <si>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</si>
  <si>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</si>
  <si>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</si>
  <si>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</si>
  <si>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</si>
  <si>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</si>
  <si>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</si>
  <si>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</si>
  <si>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</si>
  <si>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</si>
  <si>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</si>
  <si>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</si>
  <si>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</si>
  <si>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</si>
  <si>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</si>
  <si>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</si>
  <si>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</si>
  <si>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</si>
  <si>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</si>
  <si>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</si>
  <si>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</si>
  <si>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</si>
  <si>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</si>
  <si>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</si>
  <si>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</si>
  <si>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</si>
  <si>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</si>
  <si>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</si>
  <si>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</si>
  <si>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</si>
  <si>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</si>
  <si>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</si>
  <si>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</si>
  <si>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</si>
  <si>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</si>
  <si>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</si>
  <si>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</si>
  <si>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</si>
  <si>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</si>
  <si>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</si>
  <si>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</si>
  <si>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</si>
  <si>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</si>
  <si>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</si>
  <si>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</si>
  <si>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</si>
  <si>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</si>
  <si>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</si>
  <si>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</si>
  <si>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</si>
  <si>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</si>
  <si>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</si>
  <si>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</si>
  <si>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</si>
  <si>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</si>
  <si>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</si>
  <si>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</si>
  <si>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</si>
  <si>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</si>
  <si>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</si>
  <si>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</si>
  <si>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</si>
  <si>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</si>
  <si>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</si>
  <si>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</si>
  <si>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</si>
  <si>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</si>
  <si>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</si>
  <si>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</si>
  <si>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</si>
  <si>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</si>
  <si>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</si>
  <si>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</si>
  <si>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</si>
  <si>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</si>
  <si>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</si>
  <si>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</si>
  <si>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</si>
  <si>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</si>
  <si>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</si>
  <si>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</si>
  <si>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</si>
  <si>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</si>
  <si>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</si>
  <si>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</si>
  <si>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</si>
  <si>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</si>
  <si>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</si>
  <si>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</si>
  <si>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</si>
  <si>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</si>
  <si>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</si>
  <si>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</si>
  <si>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</si>
  <si>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</si>
  <si>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</si>
  <si>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</si>
  <si>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</si>
  <si>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</si>
  <si>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</si>
  <si>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</si>
  <si>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</si>
  <si>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</si>
  <si>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</si>
  <si>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</si>
  <si>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</si>
  <si>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</si>
  <si>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</si>
  <si>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</si>
  <si>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</si>
  <si>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</si>
  <si>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</si>
  <si>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</si>
  <si>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</si>
  <si>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</si>
  <si>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</si>
  <si>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</si>
  <si>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</si>
  <si>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</si>
  <si>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</si>
  <si>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</si>
  <si>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</si>
  <si>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</si>
  <si>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</si>
  <si>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</si>
  <si>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</si>
  <si>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</si>
  <si>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</si>
  <si>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</si>
  <si>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</si>
  <si>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</si>
  <si>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</si>
  <si>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</si>
  <si>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</si>
  <si>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</si>
  <si>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</si>
  <si>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</si>
  <si>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</si>
  <si>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</si>
  <si>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</si>
  <si>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</si>
  <si>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</si>
  <si>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</si>
  <si>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</si>
  <si>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</si>
  <si>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</si>
  <si>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</si>
  <si>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</si>
  <si>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</si>
  <si>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</si>
  <si>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</si>
  <si>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</si>
  <si>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</si>
  <si>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</si>
  <si>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</si>
  <si>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</si>
  <si>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</si>
  <si>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</si>
  <si>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</si>
  <si>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</si>
  <si>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</si>
  <si>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</si>
  <si>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</si>
  <si>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</si>
  <si>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</si>
  <si>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</si>
  <si>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</si>
  <si>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</si>
  <si>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</si>
  <si>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</si>
  <si>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</si>
  <si>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</si>
  <si>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</si>
  <si>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</si>
  <si>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</si>
  <si>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</si>
  <si>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</si>
  <si>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</si>
  <si>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</si>
  <si>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</si>
  <si>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</si>
  <si>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</si>
  <si>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</si>
  <si>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</si>
  <si>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</si>
  <si>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</si>
  <si>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</si>
  <si>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</si>
  <si>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</si>
  <si>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</si>
  <si>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</si>
  <si>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</si>
  <si>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</si>
  <si>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</si>
  <si>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</si>
  <si>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</si>
  <si>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</si>
  <si>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</si>
  <si>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</si>
  <si>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</si>
  <si>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</si>
  <si>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</si>
  <si>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</si>
  <si>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</si>
  <si>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</si>
  <si>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</si>
  <si>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</si>
  <si>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</si>
  <si>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</si>
  <si>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</si>
  <si>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</si>
  <si>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</si>
  <si>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</si>
  <si>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</si>
  <si>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</si>
  <si>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</si>
  <si>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</si>
  <si>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</si>
  <si>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</si>
  <si>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</si>
  <si>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</si>
  <si>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</si>
  <si>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</si>
  <si>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</si>
  <si>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</si>
  <si>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</si>
  <si>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</si>
  <si>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</si>
  <si>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</si>
  <si>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</si>
  <si>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</si>
  <si>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</si>
  <si>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</si>
  <si>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</si>
  <si>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</si>
  <si>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</si>
  <si>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</si>
  <si>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</si>
  <si>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</si>
  <si>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</si>
  <si>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</si>
  <si>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</si>
  <si>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</si>
  <si>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</si>
  <si>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</si>
  <si>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</si>
  <si>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</si>
  <si>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</si>
  <si>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</si>
  <si>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</si>
  <si>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</si>
  <si>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</si>
  <si>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</si>
  <si>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</si>
  <si>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</si>
  <si>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</si>
  <si>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</si>
  <si>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</si>
  <si>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</si>
  <si>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</si>
  <si>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</si>
  <si>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</si>
  <si>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</si>
  <si>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</si>
  <si>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</si>
  <si>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</si>
  <si>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</si>
  <si>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</si>
  <si>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</si>
  <si>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</si>
  <si>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</si>
  <si>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</si>
  <si>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</si>
  <si>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</si>
  <si>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</si>
  <si>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</si>
  <si>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</si>
  <si>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</si>
  <si>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</si>
  <si>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</si>
  <si>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</si>
  <si>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</si>
  <si>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</si>
  <si>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</si>
  <si>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</si>
  <si>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</si>
  <si>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</si>
  <si>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</si>
  <si>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</si>
  <si>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</si>
  <si>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</si>
  <si>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</si>
  <si>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</si>
  <si>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</si>
  <si>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</si>
  <si>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</si>
  <si>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</si>
  <si>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</si>
  <si>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</si>
  <si>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</si>
  <si>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</si>
  <si>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</si>
  <si>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</si>
  <si>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</si>
  <si>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</si>
  <si>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</si>
  <si>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</si>
  <si>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</si>
  <si>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</si>
  <si>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</si>
  <si>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</si>
  <si>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</si>
  <si>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</si>
  <si>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</si>
  <si>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</si>
  <si>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</si>
  <si>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</si>
  <si>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</si>
  <si>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</si>
  <si>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</si>
  <si>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</si>
  <si>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</si>
  <si>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</si>
  <si>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</si>
  <si>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</si>
  <si>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</si>
  <si>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</si>
  <si>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</si>
  <si>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</si>
  <si>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</si>
  <si>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</si>
  <si>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</si>
  <si>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</si>
  <si>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</si>
  <si>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</si>
  <si>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</si>
  <si>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</si>
  <si>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</si>
  <si>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</si>
  <si>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</si>
  <si>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</si>
  <si>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</si>
  <si>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</si>
  <si>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</si>
  <si>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</si>
  <si>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</si>
  <si>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</si>
  <si>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</si>
  <si>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</si>
  <si>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</si>
  <si>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</si>
  <si>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</si>
  <si>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</si>
  <si>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</si>
  <si>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</si>
  <si>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</si>
  <si>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</si>
  <si>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</si>
  <si>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</si>
  <si>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</si>
  <si>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</si>
  <si>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</si>
  <si>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</si>
  <si>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</si>
  <si>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</si>
  <si>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</si>
  <si>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</si>
  <si>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</si>
  <si>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</si>
  <si>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</si>
  <si>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</si>
  <si>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</si>
  <si>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</si>
  <si>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</si>
  <si>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</si>
  <si>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</si>
  <si>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</si>
  <si>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</si>
  <si>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</si>
  <si>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</si>
  <si>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</si>
  <si>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</si>
  <si>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</si>
  <si>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</si>
  <si>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</si>
  <si>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</si>
  <si>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</si>
  <si>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</si>
  <si>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</si>
  <si>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</si>
  <si>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</si>
  <si>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</si>
  <si>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</si>
  <si>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</si>
  <si>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</si>
  <si>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</si>
  <si>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</si>
  <si>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</si>
  <si>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</si>
  <si>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</si>
  <si>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</si>
  <si>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</si>
  <si>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</si>
  <si>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</si>
  <si>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</si>
  <si>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</si>
  <si>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</si>
  <si>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</si>
  <si>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</si>
  <si>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</si>
  <si>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</si>
  <si>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</si>
  <si>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</si>
  <si>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</si>
  <si>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</si>
  <si>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</si>
  <si>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</si>
  <si>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</si>
  <si>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</si>
  <si>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</si>
  <si>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</si>
  <si>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</si>
  <si>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</si>
  <si>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</si>
  <si>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</si>
  <si>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</si>
  <si>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</si>
  <si>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</si>
  <si>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</si>
  <si>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</si>
  <si>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</si>
  <si>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</si>
  <si>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</si>
  <si>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</si>
  <si>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</si>
  <si>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</si>
  <si>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</si>
  <si>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</si>
  <si>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</si>
  <si>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</si>
  <si>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</si>
  <si>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</si>
  <si>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</si>
  <si>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</si>
  <si>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</si>
  <si>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</si>
  <si>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</si>
  <si>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</si>
  <si>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</si>
  <si>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</si>
  <si>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</si>
  <si>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</si>
  <si>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</si>
  <si>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</si>
  <si>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</si>
  <si>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</si>
  <si>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</si>
  <si>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</si>
  <si>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</si>
  <si>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</si>
  <si>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</si>
  <si>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</si>
  <si>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</si>
  <si>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</si>
  <si>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</si>
  <si>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</si>
  <si>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</si>
  <si>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</si>
  <si>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</si>
  <si>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</si>
  <si>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</si>
  <si>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</si>
  <si>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</si>
  <si>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</si>
  <si>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</si>
  <si>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</si>
  <si>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</si>
  <si>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</si>
  <si>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</si>
  <si>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</si>
  <si>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</si>
  <si>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</si>
  <si>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</si>
  <si>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</si>
  <si>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</si>
  <si>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</si>
  <si>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</si>
  <si>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</si>
  <si>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</si>
  <si>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</si>
  <si>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</si>
  <si>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</si>
  <si>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</si>
  <si>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</si>
  <si>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</si>
  <si>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</si>
  <si>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</si>
  <si>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</si>
  <si>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</si>
  <si>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</si>
  <si>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</si>
  <si>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</si>
  <si>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</si>
  <si>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</si>
  <si>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</si>
  <si>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</si>
  <si>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</si>
  <si>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</si>
  <si>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</si>
  <si>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</si>
  <si>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</si>
  <si>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</si>
  <si>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</si>
  <si>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</si>
  <si>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</si>
  <si>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</si>
  <si>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</si>
  <si>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</si>
  <si>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</si>
  <si>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</si>
  <si>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</si>
  <si>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</si>
  <si>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</si>
  <si>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</si>
  <si>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</si>
  <si>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</si>
  <si>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</si>
  <si>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</si>
  <si>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</si>
  <si>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</si>
  <si>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</si>
  <si>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</si>
  <si>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</si>
  <si>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</si>
  <si>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</si>
  <si>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</si>
  <si>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</si>
  <si>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</si>
  <si>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</si>
  <si>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</si>
  <si>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</si>
  <si>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</si>
  <si>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</si>
  <si>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</si>
  <si>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</si>
  <si>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</si>
  <si>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</si>
  <si>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</si>
  <si>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</si>
  <si>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</si>
  <si>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</si>
  <si>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</si>
  <si>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</si>
  <si>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</si>
  <si>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</si>
  <si>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</si>
  <si>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</si>
  <si>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</si>
  <si>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</si>
  <si>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</si>
  <si>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</si>
  <si>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</si>
  <si>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</si>
  <si>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</si>
  <si>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</si>
  <si>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</si>
  <si>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</si>
  <si>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</si>
  <si>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</si>
  <si>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</si>
  <si>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</si>
  <si>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</si>
  <si>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</si>
  <si>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</si>
  <si>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</si>
  <si>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</si>
  <si>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</si>
  <si>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</si>
  <si>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</si>
  <si>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</si>
  <si>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</si>
  <si>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</si>
  <si>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</si>
  <si>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</si>
  <si>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</si>
  <si>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</si>
  <si>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</si>
  <si>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</si>
  <si>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</si>
  <si>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</si>
  <si>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</si>
  <si>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</si>
  <si>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</si>
  <si>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</si>
  <si>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</si>
  <si>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</si>
  <si>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</si>
  <si>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</si>
  <si>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</si>
  <si>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</si>
  <si>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</si>
  <si>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</si>
  <si>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</si>
  <si>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</si>
  <si>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</si>
  <si>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</si>
  <si>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</si>
  <si>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</si>
  <si>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</si>
  <si>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</si>
  <si>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</si>
  <si>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</si>
  <si>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</si>
  <si>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</si>
  <si>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</si>
  <si>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</si>
  <si>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</si>
  <si>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</si>
  <si>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</si>
  <si>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</si>
  <si>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</si>
  <si>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</si>
  <si>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</si>
  <si>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</si>
  <si>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</si>
  <si>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</si>
  <si>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</si>
  <si>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</si>
  <si>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</si>
  <si>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</si>
  <si>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</si>
  <si>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</si>
  <si>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</si>
  <si>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</si>
  <si>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</si>
  <si>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</si>
  <si>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</si>
  <si>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</si>
  <si>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</si>
  <si>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</si>
  <si>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</si>
  <si>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</si>
  <si>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</si>
  <si>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</si>
  <si>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</si>
  <si>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</si>
  <si>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</si>
  <si>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</si>
  <si>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</si>
  <si>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</si>
  <si>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</si>
  <si>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</si>
  <si>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</si>
  <si>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</si>
  <si>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</si>
  <si>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</si>
  <si>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</si>
  <si>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</si>
  <si>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</si>
  <si>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</si>
  <si>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</si>
  <si>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</si>
  <si>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</si>
  <si>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</si>
  <si>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</si>
  <si>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</si>
  <si>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</si>
  <si>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</si>
  <si>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</si>
  <si>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</si>
  <si>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</si>
  <si>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</si>
  <si>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</si>
  <si>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</si>
  <si>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</si>
  <si>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</si>
  <si>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</si>
  <si>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</si>
  <si>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</si>
  <si>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</si>
  <si>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</si>
  <si>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</si>
  <si>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</si>
  <si>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</si>
  <si>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</si>
  <si>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</si>
  <si>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</si>
  <si>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</si>
  <si>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</si>
  <si>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</si>
  <si>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</si>
  <si>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</si>
  <si>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</si>
  <si>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</si>
  <si>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</si>
  <si>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</si>
  <si>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</si>
  <si>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</si>
  <si>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</si>
  <si>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</si>
  <si>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</si>
  <si>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</si>
  <si>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</si>
  <si>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</si>
  <si>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</si>
  <si>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</si>
  <si>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</si>
  <si>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</si>
  <si>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</si>
  <si>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</si>
  <si>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</si>
  <si>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</si>
  <si>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</si>
  <si>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</si>
  <si>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</si>
  <si>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</si>
  <si>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</si>
  <si>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</si>
  <si>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</si>
  <si>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</si>
  <si>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</si>
  <si>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</si>
  <si>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</si>
  <si>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</si>
  <si>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</si>
  <si>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</si>
  <si>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</si>
  <si>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</si>
  <si>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</si>
  <si>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</si>
  <si>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</si>
  <si>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</si>
  <si>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</si>
  <si>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</si>
  <si>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</si>
  <si>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</si>
  <si>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</si>
  <si>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</si>
  <si>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</si>
  <si>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</si>
  <si>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</si>
  <si>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</si>
  <si>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</si>
  <si>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</si>
  <si>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</si>
  <si>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</si>
  <si>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</si>
  <si>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</si>
  <si>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</si>
  <si>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</si>
  <si>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</si>
  <si>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</si>
  <si>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</si>
  <si>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</si>
  <si>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</si>
  <si>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</si>
  <si>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</si>
  <si>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</si>
  <si>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</si>
  <si>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</si>
  <si>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</si>
  <si>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</si>
  <si>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</si>
  <si>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</si>
  <si>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</si>
  <si>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</si>
  <si>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</si>
  <si>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</si>
  <si>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</si>
  <si>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</si>
  <si>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</si>
  <si>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</si>
  <si>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</si>
  <si>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</si>
  <si>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</si>
  <si>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</si>
  <si>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</si>
  <si>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</si>
  <si>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</si>
  <si>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</si>
  <si>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</si>
  <si>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</si>
  <si>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</si>
  <si>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</si>
  <si>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</si>
  <si>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</si>
  <si>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</si>
  <si>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</si>
  <si>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</si>
  <si>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</si>
  <si>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</si>
  <si>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</si>
  <si>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</si>
  <si>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</si>
  <si>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</si>
  <si>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</si>
  <si>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</si>
  <si>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</si>
  <si>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</si>
  <si>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</si>
  <si>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</si>
  <si>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</si>
  <si>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</si>
  <si>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</si>
  <si>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</si>
  <si>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</si>
  <si>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</si>
  <si>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</si>
  <si>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</si>
  <si>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</si>
  <si>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</si>
  <si>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</si>
  <si>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</si>
  <si>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</si>
  <si>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</si>
  <si>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</si>
  <si>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</si>
  <si>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</si>
  <si>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</si>
  <si>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</si>
  <si>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</si>
  <si>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</si>
  <si>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</si>
  <si>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</si>
  <si>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</si>
  <si>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</si>
  <si>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</si>
  <si>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</si>
  <si>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</si>
  <si>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</si>
  <si>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</si>
  <si>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</si>
  <si>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</si>
  <si>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</si>
  <si>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</si>
  <si>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</si>
  <si>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</si>
  <si>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</si>
  <si>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</si>
  <si>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</si>
  <si>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</si>
  <si>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</si>
  <si>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</si>
  <si>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</si>
  <si>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</si>
  <si>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</si>
  <si>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</si>
  <si>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</si>
  <si>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</si>
  <si>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</si>
  <si>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</si>
  <si>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</si>
  <si>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</si>
  <si>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</si>
  <si>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</si>
  <si>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</si>
  <si>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</si>
  <si>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</si>
  <si>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</si>
  <si>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</si>
  <si>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</si>
  <si>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</si>
  <si>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</si>
  <si>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</si>
  <si>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</si>
  <si>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</si>
  <si>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</si>
  <si>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</si>
  <si>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</si>
  <si>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</si>
  <si>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</si>
  <si>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</si>
  <si>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</si>
  <si>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</si>
  <si>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</si>
  <si>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</si>
  <si>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</si>
  <si>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</si>
  <si>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</si>
  <si>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</si>
  <si>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</si>
  <si>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</si>
  <si>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</si>
  <si>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</si>
  <si>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</si>
  <si>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</si>
  <si>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</si>
  <si>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</si>
  <si>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</si>
  <si>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</si>
  <si>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</si>
  <si>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</si>
  <si>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</si>
  <si>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</si>
  <si>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</si>
  <si>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</si>
  <si>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</si>
  <si>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</si>
  <si>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</si>
  <si>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</si>
  <si>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</si>
  <si>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</si>
  <si>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</si>
  <si>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</si>
  <si>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</si>
  <si>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</si>
  <si>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</si>
  <si>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</si>
  <si>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</si>
  <si>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</si>
  <si>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</si>
  <si>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</si>
  <si>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</si>
  <si>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</si>
  <si>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</si>
  <si>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</si>
  <si>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</si>
  <si>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</si>
  <si>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</si>
  <si>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</si>
  <si>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</si>
  <si>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</si>
  <si>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</si>
  <si>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</si>
  <si>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</si>
  <si>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</si>
  <si>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</si>
  <si>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</si>
  <si>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</si>
  <si>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</si>
  <si>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</si>
  <si>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</si>
  <si>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</si>
  <si>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</si>
  <si>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</si>
  <si>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</si>
  <si>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</si>
  <si>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</si>
  <si>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</si>
  <si>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</si>
  <si>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</si>
  <si>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</si>
  <si>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</si>
  <si>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</si>
  <si>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</si>
  <si>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</si>
  <si>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</si>
  <si>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</si>
  <si>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</si>
  <si>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</si>
  <si>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</si>
  <si>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</si>
  <si>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</si>
  <si>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</si>
  <si>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</si>
  <si>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</si>
  <si>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</si>
  <si>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</si>
  <si>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</si>
  <si>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</si>
  <si>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</si>
  <si>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</si>
  <si>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</si>
  <si>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</si>
  <si>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</si>
  <si>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</si>
  <si>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</si>
  <si>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</si>
  <si>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</si>
  <si>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</si>
  <si>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</si>
  <si>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</si>
  <si>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</si>
  <si>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</si>
  <si>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</si>
  <si>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</si>
  <si>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</si>
  <si>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</si>
  <si>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</si>
  <si>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</si>
  <si>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</si>
  <si>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</si>
  <si>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</si>
  <si>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</si>
  <si>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</si>
  <si>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</si>
  <si>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</si>
  <si>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</si>
  <si>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</si>
  <si>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</si>
  <si>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</si>
  <si>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</si>
  <si>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</si>
  <si>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</si>
  <si>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</si>
  <si>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</si>
  <si>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</si>
  <si>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</si>
  <si>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</si>
  <si>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</si>
  <si>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</si>
  <si>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</si>
  <si>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</si>
  <si>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</si>
  <si>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</si>
  <si>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</si>
  <si>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</si>
  <si>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</si>
  <si>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</si>
  <si>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</si>
  <si>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</si>
  <si>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</si>
  <si>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</si>
  <si>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</si>
  <si>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</si>
  <si>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</si>
  <si>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</si>
  <si>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</si>
  <si>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</si>
  <si>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</si>
  <si>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</si>
  <si>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</si>
  <si>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</si>
  <si>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</si>
  <si>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</si>
  <si>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</si>
  <si>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</si>
  <si>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</si>
  <si>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</si>
  <si>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</si>
  <si>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</si>
  <si>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</si>
  <si>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</si>
  <si>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</si>
  <si>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</si>
  <si>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</si>
  <si>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</si>
  <si>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</si>
  <si>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</si>
  <si>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</si>
  <si>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</si>
  <si>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</si>
  <si>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</si>
  <si>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</si>
  <si>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</si>
  <si>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</si>
  <si>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</si>
  <si>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</si>
  <si>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</si>
  <si>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</si>
  <si>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</si>
  <si>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</si>
  <si>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</si>
  <si>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</si>
  <si>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</si>
  <si>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</si>
  <si>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</si>
  <si>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</si>
  <si>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</si>
  <si>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</si>
  <si>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</si>
  <si>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</si>
  <si>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</si>
  <si>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</si>
  <si>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</si>
  <si>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</si>
  <si>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</si>
  <si>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</si>
  <si>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</si>
  <si>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</si>
  <si>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</si>
  <si>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</si>
  <si>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</si>
  <si>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</si>
  <si>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</si>
  <si>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</si>
  <si>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</si>
  <si>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</si>
  <si>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</si>
  <si>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</si>
  <si>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</si>
  <si>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</si>
  <si>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</si>
  <si>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</si>
  <si>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</si>
  <si>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</si>
  <si>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</si>
  <si>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</si>
  <si>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</si>
  <si>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</si>
  <si>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</si>
  <si>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</si>
  <si>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</si>
  <si>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</si>
  <si>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</si>
  <si>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</si>
  <si>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</si>
  <si>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</si>
  <si>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</si>
  <si>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</si>
  <si>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</si>
  <si>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</si>
  <si>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</si>
  <si>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</si>
  <si>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</si>
  <si>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</si>
  <si>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</si>
  <si>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</si>
  <si>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</si>
  <si>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</si>
  <si>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</si>
  <si>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</si>
  <si>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</si>
  <si>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</si>
  <si>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</si>
  <si>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</si>
  <si>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</si>
  <si>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</si>
  <si>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</si>
  <si>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</si>
  <si>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</si>
  <si>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</si>
  <si>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</si>
  <si>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</si>
  <si>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</si>
  <si>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</si>
  <si>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</si>
  <si>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</si>
  <si>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</si>
  <si>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</si>
  <si>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</si>
  <si>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</si>
  <si>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</si>
  <si>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</si>
  <si>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</si>
  <si>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</si>
  <si>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</si>
  <si>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</si>
  <si>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</si>
  <si>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</si>
  <si>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</si>
  <si>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</si>
  <si>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</si>
  <si>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</si>
  <si>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</si>
  <si>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</si>
  <si>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</si>
  <si>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</si>
  <si>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</si>
  <si>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</si>
  <si>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</si>
  <si>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</si>
  <si>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</si>
  <si>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</si>
  <si>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</si>
  <si>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</si>
  <si>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</si>
  <si>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</si>
  <si>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</si>
  <si>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</si>
  <si>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</si>
  <si>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</si>
  <si>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</si>
  <si>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</si>
  <si>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</si>
  <si>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</si>
  <si>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</si>
  <si>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</si>
  <si>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</si>
  <si>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</si>
  <si>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</si>
  <si>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</si>
  <si>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</si>
  <si>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</si>
  <si>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</si>
  <si>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</si>
  <si>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</si>
  <si>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</si>
  <si>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</si>
  <si>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</si>
  <si>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</si>
  <si>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</si>
  <si>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</si>
  <si>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</si>
  <si>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</si>
  <si>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</si>
  <si>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</si>
  <si>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</si>
  <si>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</si>
  <si>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</si>
  <si>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</si>
  <si>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</si>
  <si>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</si>
  <si>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</si>
  <si>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</si>
  <si>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</si>
  <si>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</si>
  <si>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</si>
  <si>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</si>
  <si>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</si>
  <si>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</si>
  <si>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</si>
  <si>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</si>
  <si>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</si>
  <si>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</si>
  <si>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</si>
  <si>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</si>
  <si>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</si>
  <si>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</si>
  <si>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</si>
  <si>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</si>
  <si>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</si>
  <si>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</si>
  <si>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</si>
  <si>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</si>
  <si>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</si>
  <si>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</si>
  <si>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</si>
  <si>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</si>
  <si>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</si>
  <si>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</si>
  <si>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</si>
  <si>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</si>
  <si>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</si>
  <si>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</si>
  <si>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</si>
  <si>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</si>
  <si>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</si>
  <si>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</si>
  <si>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</si>
  <si>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</si>
  <si>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</si>
  <si>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</si>
  <si>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</si>
  <si>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</si>
  <si>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</si>
  <si>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</si>
  <si>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</si>
  <si>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</si>
  <si>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</si>
  <si>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</si>
  <si>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</si>
  <si>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</si>
  <si>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</si>
  <si>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</si>
  <si>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</si>
  <si>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</si>
  <si>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</si>
  <si>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</si>
  <si>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</si>
  <si>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</si>
  <si>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</si>
  <si>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</si>
  <si>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</si>
  <si>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</si>
  <si>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</si>
  <si>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</si>
  <si>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</si>
  <si>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</si>
  <si>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</si>
  <si>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</si>
  <si>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</si>
  <si>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</si>
  <si>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</si>
  <si>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</si>
  <si>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</si>
  <si>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</si>
  <si>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</si>
  <si>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</si>
  <si>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</si>
  <si>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</si>
  <si>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</si>
  <si>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</si>
  <si>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</si>
  <si>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</si>
  <si>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</si>
  <si>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</si>
  <si>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</si>
  <si>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</si>
  <si>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</si>
  <si>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</si>
  <si>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</si>
  <si>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</si>
  <si>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</si>
  <si>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</si>
  <si>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</si>
  <si>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</si>
  <si>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</si>
  <si>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</si>
  <si>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</si>
  <si>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</si>
  <si>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</si>
  <si>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</si>
  <si>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</si>
  <si>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</si>
  <si>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</si>
  <si>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</si>
  <si>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</si>
  <si>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</si>
  <si>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</si>
  <si>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</si>
  <si>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</si>
  <si>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</si>
  <si>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</si>
  <si>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</si>
  <si>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</si>
  <si>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</si>
  <si>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</si>
  <si>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</si>
  <si>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</si>
  <si>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</si>
  <si>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</si>
  <si>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</si>
  <si>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</si>
  <si>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</si>
  <si>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</si>
  <si>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</si>
  <si>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</si>
  <si>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</si>
  <si>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</si>
  <si>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</si>
  <si>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</si>
  <si>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</si>
  <si>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</si>
  <si>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</si>
  <si>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</si>
  <si>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</si>
  <si>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</si>
  <si>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</si>
  <si>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</si>
  <si>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</si>
  <si>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</si>
  <si>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</si>
  <si>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</si>
  <si>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</si>
  <si>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</si>
  <si>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</si>
  <si>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</si>
  <si>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</si>
  <si>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</si>
  <si>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</si>
  <si>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</si>
  <si>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</si>
  <si>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</si>
  <si>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</si>
  <si>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</si>
  <si>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</si>
  <si>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</si>
  <si>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</si>
  <si>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</si>
  <si>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</si>
  <si>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</si>
  <si>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</si>
  <si>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</si>
  <si>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</si>
  <si>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</si>
  <si>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</si>
  <si>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</si>
  <si>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</si>
  <si>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</si>
  <si>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</si>
  <si>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</si>
  <si>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</si>
  <si>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</si>
  <si>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</si>
  <si>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</si>
  <si>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</si>
  <si>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</si>
  <si>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</si>
  <si>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</si>
  <si>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</si>
  <si>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</si>
  <si>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</si>
  <si>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</si>
  <si>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</si>
  <si>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</si>
  <si>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</si>
  <si>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</si>
  <si>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</si>
  <si>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</si>
  <si>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</si>
  <si>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</si>
  <si>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</si>
  <si>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</si>
  <si>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</si>
  <si>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</si>
  <si>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</si>
  <si>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</si>
  <si>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</si>
  <si>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</si>
  <si>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</si>
  <si>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</si>
  <si>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</si>
  <si>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</si>
  <si>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</si>
  <si>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</si>
  <si>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</si>
  <si>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</si>
  <si>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</si>
  <si>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</si>
  <si>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</si>
  <si>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</si>
  <si>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</si>
  <si>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</si>
  <si>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</si>
  <si>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</si>
  <si>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</si>
  <si>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</si>
  <si>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</si>
  <si>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</si>
  <si>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</si>
  <si>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</si>
  <si>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</si>
  <si>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</si>
  <si>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</si>
  <si>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</si>
  <si>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</si>
  <si>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</si>
  <si>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</si>
  <si>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</si>
  <si>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</si>
  <si>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</si>
  <si>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</si>
  <si>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</si>
  <si>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</si>
  <si>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</si>
  <si>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</si>
  <si>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</si>
  <si>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</si>
  <si>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</si>
  <si>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</si>
  <si>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</si>
  <si>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</si>
  <si>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</si>
  <si>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</si>
  <si>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</si>
  <si>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</si>
  <si>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</si>
  <si>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</si>
  <si>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</si>
  <si>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</si>
  <si>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</si>
  <si>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</si>
  <si>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</si>
  <si>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</si>
  <si>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</si>
  <si>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</si>
  <si>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</si>
  <si>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</si>
  <si>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</si>
  <si>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</si>
  <si>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</si>
  <si>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</si>
  <si>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</si>
  <si>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</si>
  <si>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</si>
  <si>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</si>
  <si>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</si>
  <si>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</si>
  <si>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</si>
  <si>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</si>
  <si>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</si>
  <si>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</si>
  <si>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</si>
  <si>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</si>
  <si>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</si>
  <si>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</si>
  <si>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</si>
  <si>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</si>
  <si>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</si>
  <si>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</si>
  <si>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</si>
  <si>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</si>
  <si>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</si>
  <si>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</si>
  <si>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</si>
  <si>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</si>
  <si>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</si>
  <si>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</si>
  <si>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</si>
  <si>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</si>
  <si>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</si>
  <si>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</si>
  <si>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</si>
  <si>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</si>
  <si>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</si>
  <si>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</si>
  <si>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</si>
  <si>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</si>
  <si>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</si>
  <si>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</si>
  <si>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</si>
  <si>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</si>
  <si>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</si>
  <si>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</si>
  <si>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</si>
  <si>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</si>
  <si>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</si>
  <si>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</si>
  <si>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</si>
  <si>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</si>
  <si>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</si>
  <si>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</si>
  <si>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</si>
  <si>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</si>
  <si>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</si>
  <si>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</si>
  <si>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</si>
  <si>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</si>
  <si>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</si>
  <si>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</si>
  <si>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</si>
  <si>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</si>
  <si>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</si>
  <si>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</si>
  <si>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</si>
  <si>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</si>
  <si>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</si>
  <si>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</si>
  <si>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</si>
  <si>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</si>
  <si>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</si>
  <si>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</si>
  <si>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</si>
  <si>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</si>
  <si>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</si>
  <si>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</si>
  <si>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</si>
  <si>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</si>
  <si>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</si>
  <si>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</si>
  <si>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</si>
  <si>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</si>
  <si>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</si>
  <si>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</si>
  <si>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</si>
  <si>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</si>
  <si>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</si>
  <si>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</si>
  <si>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</si>
  <si>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</si>
  <si>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</si>
  <si>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</si>
  <si>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</si>
  <si>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</si>
  <si>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</si>
  <si>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</si>
  <si>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</si>
  <si>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</si>
  <si>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</si>
  <si>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</si>
  <si>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</si>
  <si>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</si>
  <si>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</si>
  <si>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</si>
  <si>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</si>
  <si>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</si>
  <si>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</si>
  <si>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</si>
  <si>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</si>
  <si>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</si>
  <si>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</si>
  <si>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</si>
  <si>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</si>
  <si>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</si>
  <si>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</si>
  <si>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</si>
  <si>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</si>
  <si>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</si>
  <si>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</si>
  <si>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</si>
  <si>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</si>
  <si>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</si>
  <si>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</si>
  <si>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</si>
  <si>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</si>
  <si>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</si>
  <si>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</si>
  <si>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</si>
  <si>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</si>
  <si>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</si>
  <si>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</si>
  <si>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</si>
  <si>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</si>
  <si>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</si>
  <si>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</si>
  <si>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</si>
  <si>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</si>
  <si>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</si>
  <si>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</si>
  <si>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</si>
  <si>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</si>
  <si>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</si>
  <si>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</si>
  <si>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</si>
  <si>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</si>
  <si>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</si>
  <si>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</si>
  <si>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</si>
  <si>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</si>
  <si>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</si>
  <si>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</si>
  <si>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</si>
  <si>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</si>
  <si>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</si>
  <si>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</si>
  <si>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</si>
  <si>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</si>
  <si>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</si>
  <si>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</si>
  <si>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</si>
  <si>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</si>
  <si>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</si>
  <si>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</si>
  <si>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</si>
  <si>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</si>
  <si>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</si>
  <si>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</si>
  <si>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</si>
  <si>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</si>
  <si>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</si>
  <si>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</si>
  <si>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</si>
  <si>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</si>
  <si>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</si>
  <si>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</si>
  <si>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</si>
  <si>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</si>
  <si>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</si>
  <si>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</si>
  <si>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</si>
  <si>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</si>
  <si>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</si>
  <si>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</si>
  <si>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</si>
  <si>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</si>
  <si>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</si>
  <si>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</si>
  <si>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</si>
  <si>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</si>
  <si>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</si>
  <si>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</si>
  <si>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</si>
  <si>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</si>
  <si>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</si>
  <si>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</si>
  <si>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</si>
  <si>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</si>
  <si>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</si>
  <si>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</si>
  <si>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</si>
  <si>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</si>
  <si>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</si>
  <si>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</si>
  <si>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</si>
  <si>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</si>
  <si>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</si>
  <si>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</si>
  <si>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</si>
  <si>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</si>
  <si>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</si>
  <si>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</si>
  <si>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</si>
  <si>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</si>
  <si>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</si>
  <si>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</si>
  <si>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</si>
  <si>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</si>
  <si>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</si>
  <si>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</si>
  <si>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</si>
  <si>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</si>
  <si>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</si>
  <si>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</si>
  <si>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</si>
  <si>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</si>
  <si>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</si>
  <si>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</si>
  <si>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</si>
  <si>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</si>
  <si>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</si>
  <si>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</si>
  <si>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</si>
  <si>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</si>
  <si>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</si>
  <si>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</si>
  <si>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</si>
  <si>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</si>
  <si>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</si>
  <si>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</si>
  <si>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</si>
  <si>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</si>
  <si>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</si>
  <si>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</si>
  <si>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</si>
  <si>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</si>
  <si>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</si>
  <si>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</si>
  <si>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</si>
  <si>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</si>
  <si>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</si>
  <si>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</si>
  <si>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</si>
  <si>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</si>
  <si>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</si>
  <si>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</si>
  <si>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</si>
  <si>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</si>
  <si>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</si>
  <si>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</si>
  <si>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</si>
  <si>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</si>
  <si>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</si>
  <si>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</si>
  <si>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</si>
  <si>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</si>
  <si>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</si>
  <si>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</si>
  <si>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</si>
  <si>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</si>
  <si>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</si>
  <si>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</si>
  <si>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</si>
  <si>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</si>
  <si>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</si>
  <si>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</si>
  <si>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</si>
  <si>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</si>
  <si>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</si>
  <si>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</si>
  <si>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</si>
  <si>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</si>
  <si>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</si>
  <si>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</si>
  <si>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</si>
  <si>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</si>
  <si>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</si>
  <si>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</si>
  <si>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</si>
  <si>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</si>
  <si>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</si>
  <si>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</si>
  <si>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</si>
  <si>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</si>
  <si>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</si>
  <si>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</si>
  <si>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</si>
  <si>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</si>
  <si>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</si>
  <si>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</si>
  <si>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</si>
  <si>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</si>
  <si>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</si>
  <si>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</si>
  <si>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</si>
  <si>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</si>
  <si>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</si>
  <si>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</si>
  <si>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</si>
  <si>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</si>
  <si>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</si>
  <si>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</si>
  <si>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</si>
  <si>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</si>
  <si>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</si>
  <si>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</si>
  <si>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</si>
  <si>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</si>
  <si>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</si>
  <si>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</si>
  <si>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</si>
  <si>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</si>
  <si>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</si>
  <si>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</si>
  <si>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</si>
  <si>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</si>
  <si>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</si>
  <si>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</si>
  <si>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</si>
  <si>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</si>
  <si>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</si>
  <si>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</si>
  <si>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</si>
  <si>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</si>
  <si>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</si>
  <si>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</si>
  <si>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</si>
  <si>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</si>
  <si>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</si>
  <si>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</si>
  <si>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</si>
  <si>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</si>
  <si>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</si>
  <si>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</si>
  <si>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</si>
  <si>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</si>
  <si>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</si>
  <si>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</si>
  <si>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</si>
  <si>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</si>
  <si>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</si>
  <si>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</si>
  <si>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</si>
  <si>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</si>
  <si>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</si>
  <si>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</si>
  <si>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</si>
  <si>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</si>
  <si>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</si>
  <si>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</si>
  <si>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</si>
  <si>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</si>
  <si>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</si>
  <si>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</si>
  <si>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</si>
  <si>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</si>
  <si>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</si>
  <si>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</si>
  <si>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</si>
  <si>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</si>
  <si>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</si>
  <si>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</si>
  <si>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</si>
  <si>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</si>
  <si>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</si>
  <si>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</si>
  <si>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</si>
  <si>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</si>
  <si>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</si>
  <si>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</si>
  <si>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</si>
  <si>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</si>
  <si>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</si>
  <si>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</si>
  <si>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</si>
  <si>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</si>
  <si>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</si>
  <si>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</si>
  <si>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</si>
  <si>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</si>
  <si>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</si>
  <si>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</si>
  <si>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</si>
  <si>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</si>
  <si>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</si>
  <si>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</si>
  <si>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</si>
  <si>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</si>
  <si>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</si>
  <si>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</si>
  <si>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</si>
  <si>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</si>
  <si>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</si>
  <si>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</si>
  <si>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</si>
  <si>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</si>
  <si>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</si>
  <si>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</si>
  <si>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</si>
  <si>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</si>
  <si>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</si>
  <si>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</si>
  <si>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</si>
  <si>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</si>
  <si>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</si>
  <si>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</si>
  <si>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</si>
  <si>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</si>
  <si>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</si>
  <si>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</si>
  <si>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</si>
  <si>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</si>
  <si>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</si>
  <si>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</si>
  <si>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</si>
  <si>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</si>
  <si>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</si>
  <si>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</si>
  <si>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</si>
  <si>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</si>
  <si>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</si>
  <si>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</si>
  <si>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</si>
  <si>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</si>
  <si>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</si>
  <si>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</si>
  <si>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</si>
  <si>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</si>
  <si>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</si>
  <si>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</si>
  <si>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</si>
  <si>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</si>
  <si>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</si>
  <si>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</si>
  <si>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</si>
  <si>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</si>
  <si>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</si>
  <si>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</si>
  <si>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</si>
  <si>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</si>
  <si>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</si>
  <si>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</si>
  <si>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</si>
  <si>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</si>
  <si>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</si>
  <si>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</si>
  <si>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</si>
  <si>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</si>
  <si>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</si>
  <si>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</si>
  <si>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</si>
  <si>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</si>
  <si>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</si>
  <si>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</si>
  <si>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</si>
  <si>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</si>
  <si>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</si>
  <si>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</si>
  <si>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</si>
  <si>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</si>
  <si>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</si>
  <si>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</si>
  <si>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</si>
  <si>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</si>
  <si>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</si>
  <si>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</si>
  <si>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</si>
  <si>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</si>
  <si>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</si>
  <si>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</si>
  <si>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</si>
  <si>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</si>
  <si>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</si>
  <si>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</si>
  <si>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</si>
  <si>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</si>
  <si>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</si>
  <si>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</si>
  <si>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</si>
  <si>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</si>
  <si>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</si>
  <si>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</si>
  <si>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</si>
  <si>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</si>
  <si>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</si>
  <si>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</si>
  <si>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</si>
  <si>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</si>
  <si>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</si>
  <si>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</si>
  <si>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</si>
  <si>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</si>
  <si>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</si>
  <si>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</si>
  <si>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</si>
  <si>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</si>
  <si>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</si>
  <si>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</si>
  <si>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</si>
  <si>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</si>
  <si>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</si>
  <si>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</si>
  <si>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</si>
  <si>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</si>
  <si>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</si>
  <si>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</si>
  <si>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</si>
  <si>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</si>
  <si>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</si>
  <si>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</si>
  <si>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</si>
  <si>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</si>
  <si>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</si>
  <si>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</si>
  <si>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</si>
  <si>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</si>
  <si>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</si>
  <si>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</si>
  <si>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</si>
  <si>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</si>
  <si>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</si>
  <si>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</si>
  <si>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</si>
  <si>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</si>
  <si>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</si>
  <si>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</si>
  <si>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</si>
  <si>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</si>
  <si>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</si>
  <si>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</si>
  <si>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</si>
  <si>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</si>
  <si>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</si>
  <si>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</si>
  <si>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</si>
  <si>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</si>
  <si>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</si>
  <si>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</si>
  <si>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</si>
  <si>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</si>
  <si>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</si>
  <si>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</si>
  <si>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</si>
  <si>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</si>
  <si>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</si>
  <si>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</si>
  <si>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</si>
  <si>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</si>
  <si>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</si>
  <si>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</si>
  <si>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</si>
  <si>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</si>
  <si>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</si>
  <si>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</si>
  <si>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</si>
  <si>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</si>
  <si>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</si>
  <si>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</si>
  <si>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</si>
  <si>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</si>
  <si>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</si>
  <si>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</si>
  <si>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</si>
  <si>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</si>
  <si>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</si>
  <si>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</si>
  <si>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</si>
  <si>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</si>
  <si>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</si>
  <si>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</si>
  <si>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</si>
  <si>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</si>
  <si>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</si>
  <si>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</si>
  <si>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</si>
  <si>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</si>
  <si>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</si>
  <si>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</si>
  <si>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</si>
  <si>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</si>
  <si>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</si>
  <si>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</si>
  <si>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</si>
  <si>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</si>
  <si>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</si>
  <si>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</si>
  <si>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</si>
  <si>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</si>
  <si>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</si>
  <si>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</si>
  <si>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</si>
  <si>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</si>
  <si>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</si>
  <si>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</si>
  <si>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</si>
  <si>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</si>
  <si>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</si>
  <si>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</si>
  <si>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</si>
  <si>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</si>
  <si>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</si>
  <si>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</si>
  <si>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</si>
  <si>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</si>
  <si>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</si>
  <si>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</si>
  <si>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</si>
  <si>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</si>
  <si>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</si>
  <si>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</si>
  <si>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</si>
  <si>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</si>
  <si>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</si>
  <si>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</si>
  <si>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</si>
  <si>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</si>
  <si>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</si>
  <si>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</si>
  <si>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</si>
  <si>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</si>
  <si>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</si>
  <si>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</si>
  <si>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</si>
  <si>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</si>
  <si>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</si>
  <si>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</si>
  <si>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</si>
  <si>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</si>
  <si>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</si>
  <si>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</si>
  <si>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</si>
  <si>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</si>
  <si>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</si>
  <si>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</si>
  <si>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</si>
  <si>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</si>
  <si>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</si>
  <si>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</si>
  <si>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</si>
  <si>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</si>
  <si>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</si>
  <si>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</si>
  <si>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</si>
  <si>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</si>
  <si>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</si>
  <si>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</si>
  <si>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</si>
  <si>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</si>
  <si>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</si>
  <si>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</si>
  <si>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</si>
  <si>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</si>
  <si>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</si>
  <si>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</si>
  <si>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</si>
  <si>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</si>
  <si>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</si>
  <si>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</si>
  <si>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</si>
  <si>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</si>
  <si>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</si>
  <si>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</si>
  <si>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</si>
  <si>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</si>
  <si>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</si>
  <si>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</si>
  <si>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</si>
  <si>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</si>
  <si>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</si>
  <si>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</si>
  <si>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</si>
  <si>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</si>
  <si>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</si>
  <si>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</si>
  <si>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</si>
  <si>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</si>
  <si>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</si>
  <si>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</si>
  <si>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</si>
  <si>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</si>
  <si>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</si>
  <si>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</si>
  <si>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</si>
  <si>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</si>
  <si>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</si>
  <si>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</si>
  <si>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</si>
  <si>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</si>
  <si>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</si>
  <si>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</si>
  <si>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</si>
  <si>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</si>
  <si>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</si>
  <si>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</si>
  <si>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</si>
  <si>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</si>
  <si>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</si>
  <si>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</si>
  <si>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</si>
  <si>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</si>
  <si>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</si>
  <si>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</si>
  <si>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</si>
  <si>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</si>
  <si>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</si>
  <si>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</si>
  <si>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</si>
  <si>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</si>
  <si>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</si>
  <si>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</si>
  <si>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</si>
  <si>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</si>
  <si>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</si>
  <si>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</si>
  <si>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</si>
  <si>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</si>
  <si>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</si>
  <si>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</si>
  <si>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</si>
  <si>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</si>
  <si>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</si>
  <si>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</si>
  <si>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</si>
  <si>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</si>
  <si>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</si>
  <si>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</si>
  <si>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</si>
  <si>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</si>
  <si>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</si>
  <si>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</si>
  <si>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</si>
  <si>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</si>
  <si>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</si>
  <si>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</si>
  <si>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</si>
  <si>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</si>
  <si>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</si>
  <si>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</si>
  <si>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</si>
  <si>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</si>
  <si>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</si>
  <si>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</si>
  <si>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</si>
  <si>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</si>
  <si>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</si>
  <si>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</si>
  <si>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</si>
  <si>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</si>
  <si>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</si>
  <si>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</si>
  <si>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</si>
  <si>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</si>
  <si>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</si>
  <si>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</si>
  <si>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</si>
  <si>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</si>
  <si>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</si>
  <si>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</si>
  <si>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</si>
  <si>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</si>
  <si>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</si>
  <si>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</si>
  <si>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</si>
  <si>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</si>
  <si>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</si>
  <si>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</si>
  <si>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</si>
  <si>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</si>
  <si>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</si>
  <si>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</si>
  <si>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</si>
  <si>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</si>
  <si>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</si>
  <si>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</si>
  <si>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</si>
  <si>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</si>
  <si>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</si>
  <si>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</si>
  <si>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</si>
  <si>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</si>
  <si>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</si>
  <si>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</si>
  <si>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</si>
  <si>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</si>
  <si>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</si>
  <si>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</si>
  <si>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</si>
  <si>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</si>
  <si>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</si>
  <si>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</si>
  <si>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</si>
  <si>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</si>
  <si>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</si>
  <si>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</si>
  <si>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</si>
  <si>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</si>
  <si>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</si>
  <si>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</si>
  <si>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</si>
  <si>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</si>
  <si>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</si>
  <si>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</si>
  <si>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</si>
  <si>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</si>
  <si>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</si>
  <si>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</si>
  <si>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</si>
  <si>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</si>
  <si>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</si>
  <si>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</si>
  <si>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</si>
  <si>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</si>
  <si>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</si>
  <si>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</si>
  <si>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</si>
  <si>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</si>
  <si>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</si>
  <si>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</si>
  <si>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</si>
  <si>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</si>
  <si>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</si>
  <si>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</si>
  <si>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</si>
  <si>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</si>
  <si>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</si>
  <si>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</si>
  <si>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</si>
  <si>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</si>
  <si>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</si>
  <si>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</si>
  <si>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</si>
  <si>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</si>
  <si>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</si>
  <si>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</si>
  <si>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</si>
  <si>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</si>
  <si>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</si>
  <si>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</si>
  <si>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</si>
  <si>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</si>
  <si>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</si>
  <si>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</si>
  <si>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</si>
  <si>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</si>
  <si>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</si>
  <si>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</si>
  <si>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</si>
  <si>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</si>
  <si>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</si>
  <si>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</si>
  <si>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</si>
  <si>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</si>
  <si>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</si>
  <si>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</si>
  <si>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</si>
  <si>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</si>
  <si>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</si>
  <si>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</si>
  <si>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</si>
  <si>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</si>
  <si>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</si>
  <si>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</si>
  <si>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</si>
  <si>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</si>
  <si>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</si>
  <si>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</si>
  <si>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</si>
  <si>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</si>
  <si>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</si>
  <si>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</si>
  <si>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</si>
  <si>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</si>
  <si>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</si>
  <si>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</si>
  <si>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</si>
  <si>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</si>
  <si>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</si>
  <si>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</si>
  <si>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</si>
  <si>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</si>
  <si>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</si>
  <si>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</si>
  <si>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</si>
  <si>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</si>
  <si>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</si>
  <si>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</si>
  <si>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</si>
  <si>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</si>
  <si>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</si>
  <si>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</si>
  <si>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</si>
  <si>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</si>
  <si>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</si>
  <si>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</si>
  <si>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</si>
  <si>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</si>
  <si>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</si>
  <si>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</si>
  <si>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</si>
  <si>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</si>
  <si>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</si>
  <si>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</si>
  <si>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</si>
  <si>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</si>
  <si>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</si>
  <si>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</si>
  <si>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</si>
  <si>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</si>
  <si>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</si>
  <si>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</si>
  <si>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</si>
  <si>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</si>
  <si>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</si>
  <si>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</si>
  <si>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</si>
  <si>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</si>
  <si>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</si>
  <si>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</si>
  <si>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</si>
  <si>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</si>
  <si>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</si>
  <si>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</si>
  <si>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</si>
  <si>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</si>
  <si>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</si>
  <si>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</si>
  <si>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</si>
  <si>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</si>
  <si>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</si>
  <si>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</si>
  <si>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</si>
  <si>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</si>
  <si>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</si>
  <si>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</si>
  <si>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</si>
  <si>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</si>
  <si>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</si>
  <si>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</si>
  <si>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</si>
  <si>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</si>
  <si>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</si>
  <si>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</si>
  <si>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</si>
  <si>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</si>
  <si>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</si>
  <si>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</si>
  <si>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</si>
  <si>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</si>
  <si>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</si>
  <si>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</si>
  <si>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</si>
  <si>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</si>
  <si>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</si>
  <si>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</si>
  <si>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</si>
  <si>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</si>
  <si>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</si>
  <si>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</si>
  <si>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</si>
  <si>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</si>
  <si>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</si>
  <si>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</si>
  <si>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</si>
  <si>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</si>
  <si>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</si>
  <si>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</si>
  <si>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</si>
  <si>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</si>
  <si>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</si>
  <si>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</si>
  <si>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</si>
  <si>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</si>
  <si>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</si>
  <si>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</si>
  <si>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</si>
  <si>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</si>
  <si>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</si>
  <si>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</si>
  <si>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</si>
  <si>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</si>
  <si>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</si>
  <si>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</si>
  <si>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</si>
  <si>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</si>
  <si>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</si>
  <si>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</si>
  <si>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</si>
  <si>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</si>
  <si>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</si>
  <si>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</si>
  <si>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</si>
  <si>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</si>
  <si>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</si>
  <si>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</si>
  <si>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</si>
  <si>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</si>
  <si>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</si>
  <si>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</si>
  <si>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</si>
  <si>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</si>
  <si>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</si>
  <si>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</si>
  <si>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</si>
  <si>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</si>
  <si>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</si>
  <si>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</si>
  <si>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</si>
  <si>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</si>
  <si>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</si>
  <si>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</si>
  <si>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</si>
  <si>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</si>
  <si>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</si>
  <si>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</si>
  <si>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</si>
  <si>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</si>
  <si>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</si>
  <si>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</si>
  <si>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</si>
  <si>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</si>
  <si>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</si>
  <si>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</si>
  <si>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</si>
  <si>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</si>
  <si>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</si>
  <si>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</si>
  <si>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</si>
  <si>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</si>
  <si>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</si>
  <si>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</si>
  <si>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</si>
  <si>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</si>
  <si>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</si>
  <si>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</si>
  <si>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</si>
  <si>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</si>
  <si>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</si>
  <si>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</si>
  <si>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</si>
  <si>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</si>
  <si>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</si>
  <si>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</si>
  <si>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</si>
  <si>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</si>
  <si>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</si>
  <si>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</si>
  <si>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</si>
  <si>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</si>
  <si>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</si>
  <si>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</si>
  <si>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</si>
  <si>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</si>
  <si>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</si>
  <si>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</si>
  <si>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</si>
  <si>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</si>
  <si>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</si>
  <si>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</si>
  <si>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</si>
  <si>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</si>
  <si>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</si>
  <si>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</si>
  <si>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</si>
  <si>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</si>
  <si>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</si>
  <si>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</si>
  <si>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</si>
  <si>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</si>
  <si>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</si>
  <si>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</si>
  <si>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</si>
  <si>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</si>
  <si>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</si>
  <si>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</si>
  <si>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</si>
  <si>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</si>
  <si>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</si>
  <si>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</si>
  <si>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</si>
  <si>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</si>
  <si>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</si>
  <si>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</si>
  <si>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</si>
  <si>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</si>
  <si>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</si>
  <si>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</si>
  <si>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</si>
  <si>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</si>
  <si>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</si>
  <si>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</si>
  <si>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</si>
  <si>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</si>
  <si>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</si>
  <si>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</si>
  <si>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</si>
  <si>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</si>
  <si>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</si>
  <si>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</si>
  <si>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</si>
  <si>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</si>
  <si>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</si>
  <si>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</si>
  <si>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</si>
  <si>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</si>
  <si>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</si>
  <si>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</si>
  <si>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</si>
  <si>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</si>
  <si>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</si>
  <si>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</si>
  <si>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</si>
  <si>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</si>
  <si>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</si>
  <si>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</si>
  <si>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</si>
  <si>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</si>
  <si>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</si>
  <si>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</si>
  <si>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</si>
  <si>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</si>
  <si>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</si>
  <si>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</si>
  <si>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</si>
  <si>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</si>
  <si>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</si>
  <si>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</si>
  <si>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</si>
  <si>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</si>
  <si>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</si>
  <si>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</si>
  <si>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</si>
  <si>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</si>
  <si>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</si>
  <si>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</si>
  <si>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</si>
  <si>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</si>
  <si>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</si>
  <si>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</si>
  <si>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</si>
  <si>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</si>
  <si>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</si>
  <si>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</si>
  <si>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</si>
  <si>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</si>
  <si>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</si>
  <si>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</si>
  <si>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</si>
  <si>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</si>
  <si>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</si>
  <si>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</si>
  <si>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</si>
  <si>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</si>
  <si>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</si>
  <si>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</si>
  <si>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</si>
  <si>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</si>
  <si>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</si>
  <si>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</si>
  <si>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</si>
  <si>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</si>
  <si>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</si>
  <si>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</si>
  <si>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</si>
  <si>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</si>
  <si>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</si>
  <si>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</si>
  <si>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</si>
  <si>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</si>
  <si>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</si>
  <si>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</si>
  <si>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</si>
  <si>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</si>
  <si>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</si>
  <si>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</si>
  <si>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</si>
  <si>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</si>
  <si>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</si>
  <si>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</si>
  <si>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</si>
  <si>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</si>
  <si>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</si>
  <si>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</si>
  <si>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</si>
  <si>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</si>
  <si>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</si>
  <si>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</si>
  <si>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</si>
  <si>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</si>
  <si>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</si>
  <si>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</si>
  <si>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</si>
  <si>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</si>
  <si>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</si>
  <si>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</si>
  <si>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</si>
  <si>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</si>
  <si>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</si>
  <si>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</si>
  <si>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</si>
  <si>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</si>
  <si>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</si>
  <si>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</si>
  <si>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</si>
  <si>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</si>
  <si>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</si>
  <si>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</si>
  <si>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</si>
  <si>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</si>
  <si>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</si>
  <si>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</si>
  <si>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</si>
  <si>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</si>
  <si>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</si>
  <si>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</si>
  <si>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</si>
  <si>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</si>
  <si>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</si>
  <si>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</si>
  <si>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</si>
  <si>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</si>
  <si>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</si>
  <si>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</si>
  <si>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</si>
  <si>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</si>
  <si>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</si>
  <si>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</si>
  <si>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</si>
  <si>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</si>
  <si>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</si>
  <si>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</si>
  <si>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</si>
  <si>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</si>
  <si>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</si>
  <si>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</si>
  <si>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</si>
  <si>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</si>
  <si>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</si>
  <si>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</si>
  <si>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</si>
  <si>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</si>
  <si>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</si>
  <si>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</si>
  <si>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</si>
  <si>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</si>
  <si>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</si>
  <si>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</si>
  <si>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</si>
  <si>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</si>
  <si>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</si>
  <si>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</si>
  <si>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</si>
  <si>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</si>
  <si>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</si>
  <si>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</si>
  <si>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</si>
  <si>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</si>
  <si>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</si>
  <si>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</si>
  <si>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</si>
  <si>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</si>
  <si>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</si>
  <si>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</si>
  <si>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</si>
  <si>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</si>
  <si>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</si>
  <si>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</si>
  <si>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</si>
  <si>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</si>
  <si>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</si>
  <si>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</si>
  <si>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</si>
  <si>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</si>
  <si>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</si>
  <si>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</si>
  <si>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</si>
  <si>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</si>
  <si>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</si>
  <si>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</si>
  <si>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</si>
  <si>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</si>
  <si>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</si>
  <si>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</si>
  <si>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</si>
  <si>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</si>
  <si>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</si>
  <si>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</si>
  <si>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</si>
  <si>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</si>
  <si>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</si>
  <si>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</si>
  <si>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</si>
  <si>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</si>
  <si>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</si>
  <si>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</si>
  <si>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</si>
  <si>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</si>
  <si>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</si>
  <si>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</si>
  <si>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</si>
  <si>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</si>
  <si>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</si>
  <si>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</si>
  <si>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</si>
  <si>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</si>
  <si>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</si>
  <si>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</si>
  <si>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</si>
  <si>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</si>
  <si>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</si>
  <si>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</si>
  <si>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</si>
  <si>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</si>
  <si>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</si>
  <si>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</si>
  <si>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</si>
  <si>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</si>
  <si>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</si>
  <si>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</si>
  <si>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</si>
  <si>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</si>
  <si>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</si>
  <si>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</si>
  <si>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</si>
  <si>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</si>
  <si>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</si>
  <si>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</si>
  <si>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</si>
  <si>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</si>
  <si>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</si>
  <si>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</si>
  <si>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</si>
  <si>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</si>
  <si>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</si>
  <si>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</si>
  <si>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</si>
  <si>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</si>
  <si>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</si>
  <si>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</si>
  <si>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</si>
  <si>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</si>
  <si>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</si>
  <si>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</si>
  <si>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</si>
  <si>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</si>
  <si>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</si>
  <si>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</si>
  <si>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</si>
  <si>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</si>
  <si>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</si>
  <si>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</si>
  <si>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</si>
  <si>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</si>
  <si>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</si>
  <si>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</si>
  <si>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</si>
  <si>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</si>
  <si>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</si>
  <si>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</si>
  <si>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</si>
  <si>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</si>
  <si>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</si>
  <si>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</si>
  <si>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</si>
  <si>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</si>
  <si>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</si>
  <si>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</si>
  <si>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</si>
  <si>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</si>
  <si>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</si>
  <si>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</si>
  <si>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</si>
  <si>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</si>
  <si>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</si>
  <si>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</si>
  <si>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</si>
  <si>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</si>
  <si>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</si>
  <si>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</si>
  <si>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</si>
  <si>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</si>
  <si>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</si>
  <si>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</si>
  <si>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</si>
  <si>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</si>
  <si>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</si>
  <si>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</si>
  <si>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</si>
  <si>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</si>
  <si>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</si>
  <si>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</si>
  <si>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</si>
  <si>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</si>
  <si>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</si>
  <si>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</si>
  <si>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</si>
  <si>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</si>
  <si>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</si>
  <si>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</si>
  <si>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</si>
  <si>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</si>
  <si>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</si>
  <si>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</si>
  <si>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</si>
  <si>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</si>
  <si>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</si>
  <si>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</si>
  <si>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</si>
  <si>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</si>
  <si>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</si>
  <si>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</si>
  <si>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</si>
  <si>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</si>
  <si>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</si>
  <si>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</si>
  <si>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</si>
  <si>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</si>
  <si>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</si>
  <si>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</si>
  <si>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</si>
  <si>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</si>
  <si>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</si>
  <si>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</si>
  <si>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</si>
  <si>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</si>
  <si>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</si>
  <si>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</si>
  <si>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</si>
  <si>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</si>
  <si>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</si>
  <si>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</si>
  <si>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</si>
  <si>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</si>
  <si>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</si>
  <si>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</si>
  <si>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</si>
  <si>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</si>
  <si>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</si>
  <si>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</si>
  <si>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</si>
  <si>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</si>
  <si>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</si>
  <si>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</si>
  <si>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</si>
  <si>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</si>
  <si>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</si>
  <si>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</si>
  <si>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</si>
  <si>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</si>
  <si>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</si>
  <si>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</si>
  <si>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</si>
  <si>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</si>
  <si>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</si>
  <si>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</si>
  <si>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</si>
  <si>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</si>
  <si>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</si>
  <si>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</si>
  <si>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</si>
  <si>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</si>
  <si>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</si>
  <si>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</si>
  <si>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</si>
  <si>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</si>
  <si>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</si>
  <si>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</si>
  <si>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</si>
  <si>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</si>
  <si>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</si>
  <si>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</si>
  <si>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</si>
  <si>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</si>
  <si>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</si>
  <si>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</si>
  <si>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</si>
  <si>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</si>
  <si>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</si>
  <si>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</si>
  <si>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</si>
  <si>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</si>
  <si>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</si>
  <si>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</si>
  <si>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</si>
  <si>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</si>
  <si>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</si>
  <si>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</si>
  <si>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</si>
  <si>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</si>
  <si>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</si>
  <si>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</si>
  <si>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</si>
  <si>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</si>
  <si>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</si>
  <si>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</si>
  <si>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</si>
  <si>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</si>
  <si>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</si>
  <si>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</si>
  <si>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</si>
  <si>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</si>
  <si>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</si>
  <si>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</si>
  <si>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</si>
  <si>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</si>
  <si>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</si>
  <si>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</si>
  <si>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</si>
  <si>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</si>
  <si>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</si>
  <si>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</si>
  <si>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</si>
  <si>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</si>
  <si>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</si>
  <si>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</si>
  <si>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</si>
  <si>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</si>
  <si>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</si>
  <si>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</si>
  <si>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</si>
  <si>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</si>
  <si>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</si>
  <si>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</si>
  <si>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</si>
  <si>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</si>
  <si>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</si>
  <si>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</si>
  <si>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</si>
  <si>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</si>
  <si>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</si>
  <si>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</si>
  <si>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</si>
  <si>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</si>
  <si>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</si>
  <si>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</si>
  <si>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</si>
  <si>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</si>
  <si>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</si>
  <si>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</si>
  <si>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</si>
  <si>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</si>
  <si>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</si>
  <si>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</si>
  <si>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</si>
  <si>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</si>
  <si>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</si>
  <si>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</si>
  <si>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</si>
  <si>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</si>
  <si>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</si>
  <si>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</si>
  <si>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</si>
  <si>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</si>
  <si>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</si>
  <si>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</si>
  <si>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</si>
  <si>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</si>
  <si>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</si>
  <si>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</si>
  <si>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</si>
  <si>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</si>
  <si>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</si>
  <si>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</si>
  <si>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</si>
  <si>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</si>
  <si>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</si>
  <si>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</si>
  <si>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</si>
  <si>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</si>
  <si>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</si>
  <si>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</si>
  <si>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</si>
  <si>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</si>
  <si>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</si>
  <si>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</si>
  <si>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</si>
  <si>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</si>
  <si>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</si>
  <si>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</si>
  <si>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</si>
  <si>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</si>
  <si>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</si>
  <si>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</si>
  <si>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</si>
  <si>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</si>
  <si>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</si>
  <si>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</si>
  <si>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</si>
  <si>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</si>
  <si>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</si>
  <si>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</si>
  <si>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</si>
  <si>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</si>
  <si>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</si>
  <si>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</si>
  <si>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</si>
  <si>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</si>
  <si>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</si>
  <si>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</si>
  <si>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</si>
  <si>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</si>
  <si>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</si>
  <si>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</si>
  <si>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</si>
  <si>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</si>
  <si>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</si>
  <si>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</si>
  <si>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</si>
  <si>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</si>
  <si>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</si>
  <si>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</si>
  <si>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</si>
  <si>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</si>
  <si>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</si>
  <si>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</si>
  <si>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</si>
  <si>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</si>
  <si>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</si>
  <si>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</si>
  <si>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</si>
  <si>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</si>
  <si>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</si>
  <si>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</si>
  <si>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</si>
  <si>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</si>
  <si>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</si>
  <si>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</si>
  <si>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</si>
  <si>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</si>
  <si>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</si>
  <si>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</si>
  <si>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</si>
  <si>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</si>
  <si>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</si>
  <si>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</si>
  <si>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</si>
  <si>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</si>
  <si>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</si>
  <si>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</si>
  <si>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</si>
  <si>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</si>
  <si>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</si>
  <si>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</si>
  <si>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</si>
  <si>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</si>
  <si>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</si>
  <si>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</si>
  <si>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</si>
  <si>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</si>
  <si>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</si>
  <si>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</si>
  <si>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</si>
  <si>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</si>
  <si>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</si>
  <si>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</si>
  <si>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</si>
  <si>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</si>
  <si>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</si>
  <si>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</si>
  <si>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</si>
  <si>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</si>
  <si>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</si>
  <si>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</si>
  <si>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</si>
  <si>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</si>
  <si>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</si>
  <si>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</si>
  <si>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</si>
  <si>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</si>
  <si>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</si>
  <si>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</si>
  <si>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</si>
  <si>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</si>
  <si>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</si>
  <si>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</si>
  <si>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</si>
  <si>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</si>
  <si>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</si>
  <si>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</si>
  <si>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</si>
  <si>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</si>
  <si>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</si>
  <si>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</si>
  <si>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</si>
  <si>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</si>
  <si>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</si>
  <si>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</si>
  <si>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</si>
  <si>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</si>
  <si>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</si>
  <si>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</si>
  <si>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</si>
  <si>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</si>
  <si>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</si>
  <si>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</si>
  <si>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</si>
  <si>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</si>
  <si>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</si>
  <si>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</si>
  <si>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</si>
  <si>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</si>
  <si>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</si>
  <si>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</si>
  <si>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</si>
  <si>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</si>
  <si>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</si>
  <si>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</si>
  <si>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</si>
  <si>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</si>
  <si>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</si>
  <si>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</si>
  <si>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</si>
  <si>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</si>
  <si>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</si>
  <si>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</si>
  <si>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</si>
  <si>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</si>
  <si>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</si>
  <si>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</si>
  <si>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</si>
  <si>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</si>
  <si>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</si>
  <si>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</si>
  <si>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</si>
  <si>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</si>
  <si>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</si>
  <si>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</si>
  <si>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</si>
  <si>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</si>
  <si>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</si>
  <si>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</si>
  <si>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</si>
  <si>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</si>
  <si>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</si>
  <si>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</si>
  <si>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</si>
  <si>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</si>
  <si>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</si>
  <si>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</si>
  <si>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</si>
  <si>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</si>
  <si>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</si>
  <si>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</si>
  <si>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</si>
  <si>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</si>
  <si>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</si>
  <si>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</si>
  <si>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</si>
  <si>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</si>
  <si>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</si>
  <si>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</si>
  <si>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</si>
  <si>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</si>
  <si>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</si>
  <si>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</si>
  <si>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</si>
  <si>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</si>
  <si>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</si>
  <si>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</si>
  <si>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</si>
  <si>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</si>
  <si>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</si>
  <si>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</si>
  <si>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</si>
  <si>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</si>
  <si>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</si>
  <si>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</si>
  <si>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</si>
  <si>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</si>
  <si>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</si>
  <si>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</si>
  <si>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</si>
  <si>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</si>
  <si>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</si>
  <si>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</si>
  <si>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</si>
  <si>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</si>
  <si>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</si>
  <si>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</si>
  <si>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</si>
  <si>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</si>
  <si>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</si>
  <si>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</si>
  <si>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</si>
  <si>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</si>
  <si>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</si>
  <si>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</si>
  <si>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</si>
  <si>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</si>
  <si>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</si>
  <si>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</si>
  <si>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</si>
  <si>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</si>
  <si>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</si>
  <si>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</si>
  <si>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</si>
  <si>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</si>
  <si>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</si>
  <si>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</si>
  <si>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</si>
  <si>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</si>
  <si>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</si>
  <si>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</si>
  <si>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</si>
  <si>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</si>
  <si>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</si>
  <si>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</si>
  <si>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</si>
  <si>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</si>
  <si>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</si>
  <si>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</si>
  <si>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</si>
  <si>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</si>
  <si>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</si>
  <si>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</si>
  <si>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</si>
  <si>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</si>
  <si>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</si>
  <si>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</si>
  <si>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</si>
  <si>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</si>
  <si>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</si>
  <si>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</si>
  <si>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</si>
  <si>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</si>
  <si>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</si>
  <si>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</si>
  <si>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</si>
  <si>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</si>
  <si>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</si>
  <si>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</si>
  <si>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</si>
  <si>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</si>
  <si>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</si>
  <si>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</si>
  <si>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</si>
  <si>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</si>
  <si>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</si>
  <si>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</si>
  <si>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</si>
  <si>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</si>
  <si>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</si>
  <si>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</si>
  <si>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</si>
  <si>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</si>
  <si>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</si>
  <si>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</si>
  <si>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</si>
  <si>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</si>
  <si>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</si>
  <si>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</si>
  <si>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</si>
  <si>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</si>
  <si>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</si>
  <si>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</si>
  <si>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</si>
  <si>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</si>
  <si>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</si>
  <si>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</si>
  <si>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</si>
  <si>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</si>
  <si>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</si>
  <si>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</si>
  <si>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</si>
  <si>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</si>
  <si>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</si>
  <si>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</si>
  <si>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</si>
  <si>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</si>
  <si>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</si>
  <si>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</si>
  <si>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</si>
  <si>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</si>
  <si>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</si>
  <si>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</si>
  <si>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</si>
  <si>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</si>
  <si>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</si>
  <si>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</si>
  <si>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</si>
  <si>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</si>
  <si>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</si>
  <si>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</si>
  <si>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</si>
  <si>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</si>
  <si>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</si>
  <si>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</si>
  <si>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</si>
  <si>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</si>
  <si>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</si>
  <si>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</si>
  <si>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</si>
  <si>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</si>
  <si>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</si>
  <si>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</si>
  <si>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</si>
  <si>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</si>
  <si>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</si>
  <si>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</si>
  <si>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</si>
  <si>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</si>
  <si>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</si>
  <si>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</si>
  <si>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</si>
  <si>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</si>
  <si>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</si>
  <si>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</si>
  <si>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</si>
  <si>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</si>
  <si>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</si>
  <si>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</si>
  <si>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</si>
  <si>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</si>
  <si>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</si>
  <si>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</si>
  <si>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</si>
  <si>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</si>
  <si>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</si>
  <si>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</si>
  <si>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</si>
  <si>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</si>
  <si>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</si>
  <si>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</si>
  <si>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</si>
  <si>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</si>
  <si>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</si>
  <si>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</si>
  <si>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</si>
  <si>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</si>
  <si>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</si>
  <si>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</si>
  <si>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</si>
  <si>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</si>
  <si>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</si>
  <si>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</si>
  <si>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</si>
  <si>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</si>
  <si>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</si>
  <si>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</si>
  <si>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</si>
  <si>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</si>
  <si>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</si>
  <si>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</si>
  <si>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</si>
  <si>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</si>
  <si>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</si>
  <si>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</si>
  <si>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</si>
  <si>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</si>
  <si>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</si>
  <si>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</si>
  <si>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</si>
  <si>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</si>
  <si>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</si>
  <si>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</si>
  <si>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</si>
  <si>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</si>
  <si>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</si>
  <si>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</si>
  <si>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</si>
  <si>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</si>
  <si>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</si>
  <si>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</si>
  <si>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</si>
  <si>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</si>
  <si>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</si>
  <si>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</si>
  <si>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</si>
  <si>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</si>
  <si>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</si>
  <si>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</si>
  <si>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</si>
  <si>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</si>
  <si>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</si>
  <si>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</si>
  <si>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</si>
  <si>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</si>
  <si>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</si>
  <si>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</si>
  <si>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</si>
  <si>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</si>
  <si>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</si>
  <si>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</si>
  <si>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</si>
  <si>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</si>
  <si>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</si>
  <si>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</si>
  <si>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</si>
  <si>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</si>
  <si>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</si>
  <si>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</si>
  <si>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</si>
  <si>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</si>
  <si>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</si>
  <si>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</si>
  <si>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</si>
  <si>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</si>
  <si>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</si>
  <si>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</si>
  <si>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</si>
  <si>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</si>
  <si>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</si>
  <si>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</si>
  <si>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</si>
  <si>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</si>
  <si>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</si>
  <si>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</si>
  <si>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</si>
  <si>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</si>
  <si>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</si>
  <si>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</si>
  <si>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</si>
  <si>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</si>
  <si>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</si>
  <si>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</si>
  <si>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</si>
  <si>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</si>
  <si>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</si>
  <si>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</si>
  <si>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</si>
  <si>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</si>
  <si>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</si>
  <si>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</si>
  <si>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</si>
  <si>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</si>
  <si>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</si>
  <si>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</si>
  <si>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</si>
  <si>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</si>
  <si>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</si>
  <si>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</si>
  <si>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</si>
  <si>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</si>
  <si>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</si>
  <si>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</si>
  <si>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</si>
  <si>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</si>
  <si>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</si>
  <si>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</si>
  <si>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</si>
  <si>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</si>
  <si>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</si>
  <si>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</si>
  <si>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</si>
  <si>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</si>
  <si>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</si>
  <si>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</si>
  <si>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</si>
  <si>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</si>
  <si>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</si>
  <si>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</si>
  <si>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</si>
  <si>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</si>
  <si>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</si>
  <si>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</si>
  <si>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</si>
  <si>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</si>
  <si>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</si>
  <si>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</si>
  <si>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</si>
  <si>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</si>
  <si>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</si>
  <si>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</si>
  <si>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</si>
  <si>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</si>
  <si>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</si>
  <si>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</si>
  <si>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</si>
  <si>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</si>
  <si>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</si>
  <si>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</si>
  <si>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</si>
  <si>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</si>
  <si>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</si>
  <si>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</si>
  <si>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</si>
  <si>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</si>
  <si>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</si>
  <si>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</si>
  <si>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</si>
  <si>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</si>
  <si>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</si>
  <si>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</si>
  <si>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</si>
  <si>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</si>
  <si>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</si>
  <si>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</si>
  <si>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</si>
  <si>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</si>
  <si>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</si>
  <si>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</si>
  <si>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</si>
  <si>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</si>
  <si>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</si>
  <si>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</si>
  <si>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</si>
  <si>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</si>
  <si>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</si>
  <si>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</si>
  <si>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</si>
  <si>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</si>
  <si>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</si>
  <si>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</si>
  <si>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</si>
  <si>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</si>
  <si>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</si>
  <si>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</si>
  <si>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</si>
  <si>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</si>
  <si>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</si>
  <si>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</si>
  <si>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</si>
  <si>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</si>
  <si>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</si>
  <si>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</si>
  <si>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</si>
  <si>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</si>
  <si>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</si>
  <si>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</si>
  <si>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</si>
  <si>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</si>
  <si>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</si>
  <si>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</si>
  <si>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</si>
  <si>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</si>
  <si>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</si>
  <si>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</si>
  <si>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</si>
  <si>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</si>
  <si>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</si>
  <si>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</si>
  <si>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</si>
  <si>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</si>
  <si>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</si>
  <si>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</si>
  <si>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</si>
  <si>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</si>
  <si>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</si>
  <si>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</si>
  <si>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</si>
  <si>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</si>
  <si>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</si>
  <si>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</si>
  <si>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</si>
  <si>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</si>
  <si>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</si>
  <si>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</si>
  <si>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</si>
  <si>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</si>
  <si>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</si>
  <si>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</si>
  <si>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</si>
  <si>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</si>
  <si>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</si>
  <si>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</si>
  <si>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</si>
  <si>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</si>
  <si>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</si>
  <si>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</si>
  <si>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</si>
  <si>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</si>
  <si>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</si>
  <si>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</si>
  <si>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</si>
  <si>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</si>
  <si>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</si>
  <si>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</si>
  <si>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</si>
  <si>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</si>
  <si>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</si>
  <si>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</si>
  <si>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</si>
  <si>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</si>
  <si>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</si>
  <si>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</si>
  <si>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</si>
  <si>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</si>
  <si>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</si>
  <si>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</si>
  <si>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</si>
  <si>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</si>
  <si>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</si>
  <si>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</si>
  <si>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</si>
  <si>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</si>
  <si>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</si>
  <si>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</si>
  <si>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</si>
  <si>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</si>
  <si>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</si>
  <si>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</si>
  <si>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</si>
  <si>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</si>
  <si>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</si>
  <si>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</si>
  <si>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</si>
  <si>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</si>
  <si>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</si>
  <si>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</si>
  <si>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</si>
  <si>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</si>
  <si>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</si>
  <si>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</si>
  <si>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</si>
  <si>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</si>
  <si>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</si>
  <si>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</si>
  <si>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</si>
  <si>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</si>
  <si>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</si>
  <si>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</si>
  <si>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</si>
  <si>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</si>
  <si>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</si>
  <si>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</si>
  <si>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</si>
  <si>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</si>
  <si>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</si>
  <si>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</si>
  <si>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</si>
  <si>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</si>
  <si>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</si>
  <si>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</si>
  <si>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</si>
  <si>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</si>
  <si>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</si>
  <si>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</si>
  <si>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</si>
  <si>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</si>
  <si>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</si>
  <si>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</si>
  <si>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</si>
  <si>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</si>
  <si>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</si>
  <si>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</si>
  <si>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</si>
  <si>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</si>
  <si>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</si>
  <si>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</si>
  <si>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</si>
  <si>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</si>
  <si>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</si>
  <si>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</si>
  <si>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</si>
  <si>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</si>
  <si>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</si>
  <si>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</si>
  <si>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</si>
  <si>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</si>
  <si>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</si>
  <si>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</si>
  <si>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</si>
  <si>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</si>
  <si>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</si>
  <si>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</si>
  <si>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</si>
  <si>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</si>
  <si>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</si>
  <si>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</si>
  <si>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</si>
  <si>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</si>
  <si>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</si>
  <si>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</si>
  <si>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</si>
  <si>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</si>
  <si>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</si>
  <si>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</si>
  <si>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</si>
  <si>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</si>
  <si>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</si>
  <si>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</si>
  <si>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</si>
  <si>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</si>
  <si>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</si>
  <si>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</si>
  <si>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</si>
  <si>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</si>
  <si>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</si>
  <si>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</si>
  <si>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</si>
  <si>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</si>
  <si>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</si>
  <si>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</si>
  <si>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</si>
  <si>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</si>
  <si>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</si>
  <si>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</si>
  <si>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</si>
  <si>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</si>
  <si>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</si>
  <si>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</si>
  <si>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</si>
  <si>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</si>
  <si>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</si>
  <si>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</si>
  <si>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</si>
  <si>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</si>
  <si>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</si>
  <si>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</si>
  <si>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</si>
  <si>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</si>
  <si>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</si>
  <si>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</si>
  <si>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</si>
  <si>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</si>
  <si>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</si>
  <si>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</si>
  <si>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</si>
  <si>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</si>
  <si>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</si>
  <si>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</si>
  <si>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</si>
  <si>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</si>
  <si>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</si>
  <si>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</si>
  <si>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</si>
  <si>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</si>
  <si>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</si>
  <si>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</si>
  <si>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</si>
  <si>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</si>
  <si>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</si>
  <si>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</si>
  <si>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</si>
  <si>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</si>
  <si>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</si>
  <si>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</si>
  <si>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</si>
  <si>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</si>
  <si>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</si>
  <si>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</si>
  <si>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</si>
  <si>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</si>
  <si>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</si>
  <si>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</si>
  <si>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</si>
  <si>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</si>
  <si>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</si>
  <si>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</si>
  <si>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</si>
  <si>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</si>
  <si>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</si>
  <si>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</si>
  <si>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</si>
  <si>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</si>
  <si>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</si>
  <si>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</si>
  <si>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</si>
  <si>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</si>
  <si>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</si>
  <si>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</si>
  <si>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</si>
  <si>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</si>
  <si>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</si>
  <si>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</si>
  <si>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</si>
  <si>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</si>
  <si>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</si>
  <si>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</si>
  <si>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</si>
  <si>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</si>
  <si>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</si>
  <si>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</si>
  <si>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</si>
  <si>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</si>
  <si>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</si>
  <si>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</si>
  <si>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</si>
  <si>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</si>
  <si>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</si>
  <si>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</si>
  <si>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</si>
  <si>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</si>
  <si>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</si>
  <si>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</si>
  <si>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</si>
  <si>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</si>
  <si>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</si>
  <si>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</si>
  <si>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</si>
  <si>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</si>
  <si>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</si>
  <si>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</si>
  <si>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</si>
  <si>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</si>
  <si>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</si>
  <si>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</si>
  <si>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</si>
  <si>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</si>
  <si>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</si>
  <si>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</si>
  <si>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</si>
  <si>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</si>
  <si>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</si>
  <si>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</si>
  <si>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</si>
  <si>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</si>
  <si>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</si>
  <si>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</si>
  <si>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</si>
  <si>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</si>
  <si>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</si>
  <si>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</si>
  <si>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</si>
  <si>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</si>
  <si>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</si>
  <si>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</si>
  <si>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</si>
  <si>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</si>
  <si>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</si>
  <si>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</si>
  <si>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</si>
  <si>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</si>
  <si>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</si>
  <si>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</si>
  <si>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</si>
  <si>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</si>
  <si>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</si>
  <si>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</si>
  <si>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</si>
  <si>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</si>
  <si>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</si>
  <si>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</si>
  <si>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</si>
  <si>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</si>
  <si>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</si>
  <si>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</si>
  <si>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</si>
  <si>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</si>
  <si>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</si>
  <si>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</si>
  <si>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</si>
  <si>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</si>
  <si>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</si>
  <si>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</si>
  <si>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</si>
  <si>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</si>
  <si>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</si>
  <si>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</si>
  <si>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</si>
  <si>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</si>
  <si>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</si>
  <si>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</si>
  <si>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</si>
  <si>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</si>
  <si>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</si>
  <si>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</si>
  <si>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</si>
  <si>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</si>
  <si>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</si>
  <si>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</si>
  <si>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</si>
  <si>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</si>
  <si>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</si>
  <si>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</si>
  <si>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</si>
  <si>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</si>
  <si>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</si>
  <si>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</si>
  <si>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</si>
  <si>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</si>
  <si>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</si>
  <si>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</si>
  <si>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</si>
  <si>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</si>
  <si>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</si>
  <si>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</si>
  <si>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</si>
  <si>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</si>
  <si>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</si>
  <si>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</si>
  <si>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</si>
  <si>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</si>
  <si>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</si>
  <si>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</si>
  <si>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</si>
  <si>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</si>
  <si>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</si>
  <si>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</si>
  <si>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</si>
  <si>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</si>
  <si>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</si>
  <si>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</si>
  <si>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</si>
  <si>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</si>
  <si>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</si>
  <si>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</si>
  <si>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</si>
  <si>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</si>
  <si>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</si>
  <si>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</si>
  <si>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</si>
  <si>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</si>
  <si>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</si>
  <si>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</si>
  <si>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</si>
  <si>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</si>
  <si>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</si>
  <si>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</si>
  <si>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</si>
  <si>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</si>
  <si>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</si>
  <si>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</si>
  <si>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</si>
  <si>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</si>
  <si>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</si>
  <si>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</si>
  <si>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</si>
  <si>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</si>
  <si>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</si>
  <si>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</si>
  <si>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</si>
  <si>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</si>
  <si>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</si>
  <si>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</si>
  <si>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</si>
  <si>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</si>
  <si>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</si>
  <si>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</si>
  <si>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</si>
  <si>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</si>
  <si>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</si>
  <si>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</si>
  <si>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</si>
  <si>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</si>
  <si>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</si>
  <si>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</si>
  <si>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</si>
  <si>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</si>
  <si>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</si>
  <si>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</si>
  <si>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</si>
  <si>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</si>
  <si>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</si>
  <si>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</si>
  <si>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</si>
  <si>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</si>
  <si>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</si>
  <si>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</si>
  <si>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</si>
  <si>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</si>
  <si>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</si>
  <si>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</si>
  <si>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</si>
  <si>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</si>
  <si>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</si>
  <si>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</si>
  <si>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</si>
  <si>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</si>
  <si>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</si>
  <si>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</si>
  <si>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</si>
  <si>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</si>
  <si>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</si>
  <si>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</si>
  <si>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</si>
  <si>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</si>
  <si>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</si>
  <si>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</si>
  <si>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</si>
  <si>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</si>
  <si>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</si>
  <si>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</si>
  <si>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</si>
  <si>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</si>
  <si>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</si>
  <si>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</si>
  <si>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</si>
  <si>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</si>
  <si>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</si>
  <si>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</si>
  <si>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</si>
  <si>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</si>
  <si>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</si>
  <si>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</si>
  <si>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</si>
  <si>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</si>
  <si>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</si>
  <si>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</si>
  <si>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</si>
  <si>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</si>
  <si>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</si>
  <si>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</si>
  <si>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</si>
  <si>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</si>
  <si>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</si>
  <si>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</si>
  <si>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</si>
  <si>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</si>
  <si>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</si>
  <si>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</si>
  <si>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</si>
  <si>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</si>
  <si>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</si>
  <si>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</si>
  <si>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</si>
  <si>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</si>
  <si>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</si>
  <si>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</si>
  <si>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</si>
  <si>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</si>
  <si>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</si>
  <si>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</si>
  <si>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</si>
  <si>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</si>
  <si>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</si>
  <si>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</si>
  <si>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</si>
  <si>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</si>
  <si>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</si>
  <si>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</si>
  <si>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</si>
  <si>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</si>
  <si>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</si>
  <si>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</si>
  <si>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</si>
  <si>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</si>
  <si>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</si>
  <si>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</si>
  <si>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</si>
  <si>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</si>
  <si>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</si>
  <si>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</si>
  <si>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</si>
  <si>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</si>
  <si>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</si>
  <si>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</si>
  <si>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</si>
  <si>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</si>
  <si>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</si>
  <si>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</si>
  <si>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</si>
  <si>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</si>
  <si>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</si>
  <si>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</si>
  <si>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</si>
  <si>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</si>
  <si>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</si>
  <si>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</si>
  <si>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</si>
  <si>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</si>
  <si>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</si>
  <si>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</si>
  <si>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</si>
  <si>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</si>
  <si>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</si>
  <si>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</si>
  <si>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</si>
  <si>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</si>
  <si>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</si>
  <si>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</si>
  <si>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</si>
  <si>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</si>
  <si>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</si>
  <si>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</si>
  <si>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</si>
  <si>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</si>
  <si>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</si>
  <si>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</si>
  <si>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</si>
  <si>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</si>
  <si>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</si>
  <si>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</si>
  <si>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</si>
  <si>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</si>
  <si>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</si>
  <si>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</si>
  <si>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</si>
  <si>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</si>
  <si>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</si>
  <si>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</si>
  <si>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</si>
  <si>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</si>
  <si>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</si>
  <si>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</si>
  <si>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</si>
  <si>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</si>
  <si>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</si>
  <si>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</si>
  <si>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</si>
  <si>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</si>
  <si>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</si>
  <si>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</si>
  <si>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</si>
  <si>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</si>
  <si>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</si>
  <si>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</si>
  <si>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</si>
  <si>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</si>
  <si>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</si>
  <si>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</si>
  <si>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</si>
  <si>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</si>
  <si>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</si>
  <si>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</si>
  <si>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</si>
  <si>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</si>
  <si>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</si>
  <si>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</si>
  <si>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</si>
  <si>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</si>
  <si>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</si>
  <si>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</si>
  <si>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</si>
  <si>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</si>
  <si>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</si>
  <si>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</si>
  <si>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</si>
  <si>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</si>
  <si>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</si>
  <si>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</si>
  <si>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</si>
  <si>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</si>
  <si>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</si>
  <si>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</si>
  <si>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</si>
  <si>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</si>
  <si>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</si>
  <si>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</si>
  <si>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</si>
  <si>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</si>
  <si>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</si>
  <si>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</si>
  <si>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</si>
  <si>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</si>
  <si>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</si>
  <si>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</si>
  <si>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</si>
  <si>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</si>
  <si>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</si>
  <si>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</si>
  <si>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</si>
  <si>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</si>
  <si>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</si>
  <si>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</si>
  <si>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</si>
  <si>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</si>
  <si>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</si>
  <si>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</si>
  <si>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</si>
  <si>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</si>
  <si>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</si>
  <si>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</si>
  <si>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</si>
  <si>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</si>
  <si>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</si>
  <si>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</si>
  <si>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</si>
  <si>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</si>
  <si>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</si>
  <si>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</si>
  <si>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</si>
  <si>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</si>
  <si>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</si>
  <si>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</si>
  <si>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</si>
  <si>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</si>
  <si>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</si>
  <si>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</si>
  <si>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</si>
  <si>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</si>
  <si>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</si>
  <si>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</si>
  <si>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</si>
  <si>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</si>
  <si>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</si>
  <si>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</si>
  <si>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</si>
  <si>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</si>
  <si>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</si>
  <si>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</si>
  <si>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</si>
  <si>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</si>
  <si>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</si>
  <si>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</si>
  <si>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</si>
  <si>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</si>
  <si>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</si>
  <si>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</si>
  <si>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</si>
  <si>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</si>
  <si>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</si>
  <si>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</si>
  <si>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</si>
  <si>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</si>
  <si>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</si>
  <si>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</si>
  <si>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</si>
  <si>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</si>
  <si>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</si>
  <si>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</si>
  <si>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</si>
  <si>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</si>
  <si>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</si>
  <si>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</si>
  <si>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</si>
  <si>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</si>
  <si>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</si>
  <si>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</si>
  <si>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</si>
  <si>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</si>
  <si>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</si>
  <si>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</si>
  <si>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</si>
  <si>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</si>
  <si>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</si>
  <si>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</si>
  <si>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</si>
  <si>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</si>
  <si>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</si>
  <si>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</si>
  <si>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</si>
  <si>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</si>
  <si>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</si>
  <si>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</si>
  <si>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</si>
  <si>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</si>
  <si>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</si>
  <si>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</si>
  <si>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</si>
  <si>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</si>
  <si>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</si>
  <si>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</si>
  <si>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</si>
  <si>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</si>
  <si>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</si>
  <si>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</si>
  <si>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</si>
  <si>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</si>
  <si>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</si>
  <si>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</si>
  <si>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</si>
  <si>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</si>
  <si>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</si>
  <si>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</si>
  <si>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</si>
  <si>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</si>
  <si>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</si>
  <si>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</si>
  <si>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</si>
  <si>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</si>
  <si>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</si>
  <si>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</si>
  <si>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</si>
  <si>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</si>
  <si>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</si>
  <si>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</si>
  <si>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</si>
  <si>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</si>
  <si>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</si>
  <si>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</si>
  <si>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</si>
  <si>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</si>
  <si>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</si>
  <si>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</si>
  <si>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</si>
  <si>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</si>
  <si>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</si>
  <si>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</si>
  <si>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</si>
  <si>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</si>
  <si>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</si>
  <si>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</si>
  <si>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</si>
  <si>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</si>
  <si>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</si>
  <si>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</si>
  <si>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</si>
  <si>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</si>
  <si>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</si>
  <si>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</si>
  <si>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</si>
  <si>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</si>
  <si>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</si>
  <si>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</si>
  <si>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</si>
  <si>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</si>
  <si>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</si>
  <si>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</si>
  <si>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</si>
  <si>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</si>
  <si>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</si>
  <si>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</si>
  <si>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</si>
  <si>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</si>
  <si>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</si>
  <si>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</si>
  <si>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</si>
  <si>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</si>
  <si>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</si>
  <si>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</si>
  <si>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</si>
  <si>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</si>
  <si>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</si>
  <si>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</si>
  <si>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</si>
  <si>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</si>
  <si>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</si>
  <si>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</si>
  <si>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</si>
  <si>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</si>
  <si>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</si>
  <si>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</si>
  <si>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</si>
  <si>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</si>
  <si>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</si>
  <si>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</si>
  <si>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</si>
  <si>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</si>
  <si>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</si>
  <si>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</si>
  <si>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</si>
  <si>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</si>
  <si>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</si>
  <si>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</si>
  <si>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</si>
  <si>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</si>
  <si>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</si>
  <si>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</si>
  <si>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</si>
  <si>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</si>
  <si>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</si>
  <si>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</si>
  <si>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</si>
  <si>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</si>
  <si>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</si>
  <si>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</si>
  <si>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</si>
  <si>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</si>
  <si>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</si>
  <si>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</si>
  <si>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</si>
  <si>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</si>
  <si>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</si>
  <si>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</si>
  <si>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</si>
  <si>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</si>
  <si>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</si>
  <si>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</si>
  <si>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</si>
  <si>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</si>
  <si>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</si>
  <si>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</si>
  <si>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</si>
  <si>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</si>
  <si>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</si>
  <si>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</si>
  <si>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</si>
  <si>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</si>
  <si>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</si>
  <si>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</si>
  <si>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</si>
  <si>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</si>
  <si>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</si>
  <si>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</si>
  <si>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</si>
  <si>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</si>
  <si>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</si>
  <si>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</si>
  <si>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</si>
  <si>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</si>
  <si>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</si>
  <si>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</si>
  <si>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</si>
  <si>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</si>
  <si>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</si>
  <si>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</si>
  <si>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</si>
  <si>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</si>
  <si>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</si>
  <si>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</si>
  <si>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</si>
  <si>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</si>
  <si>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</si>
  <si>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</si>
  <si>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</si>
  <si>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</si>
  <si>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</si>
  <si>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</si>
  <si>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</si>
  <si>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</si>
  <si>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</si>
  <si>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</si>
  <si>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</si>
  <si>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</si>
  <si>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</si>
  <si>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</si>
  <si>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</si>
  <si>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</si>
  <si>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</si>
  <si>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</si>
  <si>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</si>
  <si>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</si>
  <si>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</si>
  <si>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</si>
  <si>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</si>
  <si>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</si>
  <si>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</si>
  <si>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</si>
  <si>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</si>
  <si>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</si>
  <si>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</si>
  <si>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</si>
  <si>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</si>
  <si>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</si>
  <si>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</si>
  <si>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</si>
  <si>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</si>
  <si>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</si>
  <si>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</si>
  <si>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</si>
  <si>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</si>
  <si>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</si>
  <si>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</si>
  <si>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</si>
  <si>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</si>
  <si>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</si>
  <si>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</si>
  <si>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</si>
  <si>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</si>
  <si>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</si>
  <si>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</si>
  <si>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</si>
  <si>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</si>
  <si>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</si>
  <si>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</si>
  <si>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</si>
  <si>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</si>
  <si>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</si>
  <si>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</si>
  <si>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</si>
  <si>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</si>
  <si>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</si>
  <si>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</si>
  <si>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</si>
  <si>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</si>
  <si>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</si>
  <si>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</si>
  <si>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</si>
  <si>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</si>
  <si>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</si>
  <si>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</si>
  <si>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</si>
  <si>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</si>
  <si>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</si>
  <si>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</si>
  <si>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</si>
  <si>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</si>
  <si>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</si>
  <si>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</si>
  <si>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</si>
  <si>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</si>
  <si>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</si>
  <si>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</si>
  <si>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</si>
  <si>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</si>
  <si>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</si>
  <si>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</si>
  <si>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</si>
  <si>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</si>
  <si>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</si>
  <si>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</si>
  <si>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</si>
  <si>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</si>
  <si>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</si>
  <si>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</si>
  <si>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</si>
  <si>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</si>
  <si>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</si>
  <si>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</si>
  <si>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</si>
  <si>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</si>
  <si>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</si>
  <si>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</si>
  <si>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</si>
  <si>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</si>
  <si>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</si>
  <si>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</si>
  <si>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</si>
  <si>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</si>
  <si>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</si>
  <si>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</si>
  <si>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</si>
  <si>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</si>
  <si>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</si>
  <si>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</si>
  <si>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</si>
  <si>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</si>
  <si>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</si>
  <si>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</si>
  <si>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</si>
  <si>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</si>
  <si>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</si>
  <si>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</si>
  <si>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</si>
  <si>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</si>
  <si>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</si>
  <si>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</si>
  <si>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</si>
  <si>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</si>
  <si>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</si>
  <si>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</si>
  <si>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</si>
  <si>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</si>
  <si>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</si>
  <si>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</si>
  <si>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</si>
  <si>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</si>
  <si>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</si>
  <si>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</si>
  <si>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</si>
  <si>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</si>
  <si>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</si>
  <si>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</si>
  <si>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</si>
  <si>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</si>
  <si>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</si>
  <si>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</si>
  <si>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</si>
  <si>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</si>
  <si>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</si>
  <si>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</si>
  <si>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</si>
  <si>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</si>
  <si>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</si>
  <si>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</si>
  <si>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</si>
  <si>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</si>
  <si>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</si>
  <si>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</si>
  <si>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</si>
  <si>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</si>
  <si>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</si>
  <si>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</si>
  <si>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</si>
  <si>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E208</t>
  </si>
  <si>
    <t>Moran</t>
  </si>
  <si>
    <t>sw</t>
  </si>
  <si>
    <t>3 replacement passes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</si>
</sst>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41432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15</v>
      </c>
      <c r="H3" s="32" t="s">
        <v>45016</v>
      </c>
      <c r="I3" s="33" t="str">
        <f t="shared" ref="I3:I66" si="1">IF(ISERROR(VLOOKUP(H3,table,2,0)),"INVALID",VLOOKUP(H3,table,2,0))</f>
        <v>4111</v>
      </c>
      <c r="J3" s="43" t="str">
        <f t="shared" ref="J3:J66" si="2">IF(ISERROR(VLOOKUP(H3,table,3,0)),"",VLOOKUP(H3,table,3,0))</f>
        <v>Swimming Pool</v>
      </c>
      <c r="K3" s="34" t="s">
        <v>45017</v>
      </c>
      <c r="L3" s="52"/>
      <c r="M3" s="52"/>
      <c r="N3" s="84">
        <f ca="1">TODAY()</f>
        <v>41432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41492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136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E208</v>
      </c>
      <c r="C2" s="3" t="str">
        <f>'Billing Adjustment'!D3</f>
        <v>01</v>
      </c>
      <c r="D2" t="str">
        <f>'Billing Adjustment'!H3</f>
        <v>sw</v>
      </c>
      <c r="E2" s="59">
        <f>IF('Billing Adjustment'!A3="","",'Billing Adjustment'!A3)</f>
        <v>41432</v>
      </c>
      <c r="F2" s="12" t="str">
        <f>'Billing Adjustment'!K3</f>
        <v>3 replacement passes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15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2013-06-07T16:22:09Z</dcterms:modified>
</cp:coreProperties>
</file>